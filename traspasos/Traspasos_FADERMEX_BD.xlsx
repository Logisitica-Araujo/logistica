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_Estatus" sheetId="2" state="visible" r:id="rId2"/>
    <sheet xmlns:r="http://schemas.openxmlformats.org/officeDocument/2006/relationships" name="CAT_Sucursales" sheetId="3" state="visible" r:id="rId3"/>
    <sheet xmlns:r="http://schemas.openxmlformats.org/officeDocument/2006/relationships" name="CAT_Areas" sheetId="4" state="visible" r:id="rId4"/>
    <sheet xmlns:r="http://schemas.openxmlformats.org/officeDocument/2006/relationships" name="CAT_Equipos" sheetId="5" state="visible" r:id="rId5"/>
    <sheet xmlns:r="http://schemas.openxmlformats.org/officeDocument/2006/relationships" name="CAT_Personas" sheetId="6" state="visible" r:id="rId6"/>
    <sheet xmlns:r="http://schemas.openxmlformats.org/officeDocument/2006/relationships" name="CAT_Gestores" sheetId="7" state="visible" r:id="rId7"/>
    <sheet xmlns:r="http://schemas.openxmlformats.org/officeDocument/2006/relationships" name="CAT_Administradores" sheetId="8" state="visible" r:id="rId8"/>
    <sheet xmlns:r="http://schemas.openxmlformats.org/officeDocument/2006/relationships" name="CAT_Paqueterias" sheetId="9" state="visible" r:id="rId9"/>
    <sheet xmlns:r="http://schemas.openxmlformats.org/officeDocument/2006/relationships" name="CAT_Motivos" sheetId="10" state="visible" r:id="rId10"/>
    <sheet xmlns:r="http://schemas.openxmlformats.org/officeDocument/2006/relationships" name="CFG_Ajustes" sheetId="11" state="visible" r:id="rId11"/>
    <sheet xmlns:r="http://schemas.openxmlformats.org/officeDocument/2006/relationships" name="RES_Traspasos" sheetId="12" state="visible" r:id="rId12"/>
    <sheet xmlns:r="http://schemas.openxmlformats.org/officeDocument/2006/relationships" name="RES_Movimientos" sheetId="13" state="visible" r:id="rId13"/>
    <sheet xmlns:r="http://schemas.openxmlformats.org/officeDocument/2006/relationships" name="RES_Escaneos" sheetId="14" state="visible" r:id="rId14"/>
    <sheet xmlns:r="http://schemas.openxmlformats.org/officeDocument/2006/relationships" name="RES_Etiquetas" sheetId="15" state="visible" r:id="rId15"/>
    <sheet xmlns:r="http://schemas.openxmlformats.org/officeDocument/2006/relationships" name="RES_Solicitudes" sheetId="16" state="visible" r:id="rId16"/>
    <sheet xmlns:r="http://schemas.openxmlformats.org/officeDocument/2006/relationships" name="RES_Administracion" sheetId="17" state="visible" r:id="rId17"/>
    <sheet xmlns:r="http://schemas.openxmlformats.org/officeDocument/2006/relationships" name="RES_Sesiones" sheetId="18" state="visible" r:id="rId18"/>
    <sheet xmlns:r="http://schemas.openxmlformats.org/officeDocument/2006/relationships" name="RES_Avisos" sheetId="19" state="visible" r:id="rId19"/>
    <sheet xmlns:r="http://schemas.openxmlformats.org/officeDocument/2006/relationships" name="IMP_Recolecciones" sheetId="20" state="visible" r:id="rId20"/>
    <sheet xmlns:r="http://schemas.openxmlformats.org/officeDocument/2006/relationships" name="IMP_NoRegistrados" sheetId="21" state="visible" r:id="rId21"/>
    <sheet xmlns:r="http://schemas.openxmlformats.org/officeDocument/2006/relationships" name="REP_Resumen" sheetId="22" state="visible" r:id="rId22"/>
    <sheet xmlns:r="http://schemas.openxmlformats.org/officeDocument/2006/relationships" name="SYS_Folios" sheetId="23" state="visible" r:id="rId23"/>
  </sheets>
  <definedNames>
    <definedName name="_xlnm._FilterDatabase" localSheetId="11" hidden="1">'RES_Traspasos'!$A$2:$Y$2</definedName>
    <definedName name="_xlnm._FilterDatabase" localSheetId="12" hidden="1">'RES_Movimientos'!$A$2:$M$2</definedName>
    <definedName name="_xlnm._FilterDatabase" localSheetId="13" hidden="1">'RES_Escaneos'!$A$2:$H$2</definedName>
    <definedName name="_xlnm._FilterDatabase" localSheetId="14" hidden="1">'RES_Etiquetas'!$A$2:$G$2</definedName>
    <definedName name="_xlnm._FilterDatabase" localSheetId="15" hidden="1">'RES_Solicitudes'!$A$2:$J$2</definedName>
    <definedName name="_xlnm._FilterDatabase" localSheetId="16" hidden="1">'RES_Administracion'!$A$2:$H$2</definedName>
    <definedName name="_xlnm._FilterDatabase" localSheetId="17" hidden="1">'RES_Sesiones'!$A$2:$F$2</definedName>
    <definedName name="_xlnm._FilterDatabase" localSheetId="18" hidden="1">'RES_Avisos'!$A$2:$F$2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sz val="16"/>
    </font>
    <font>
      <i val="1"/>
      <color rgb="005A6977"/>
    </font>
    <font>
      <b val="1"/>
    </font>
    <font>
      <b val="1"/>
      <color rgb="00FFFFFF"/>
    </font>
    <font>
      <b val="1"/>
      <color rgb="001F63D6"/>
      <sz val="11"/>
    </font>
    <font>
      <b val="1"/>
      <color rgb="001F63D6"/>
    </font>
    <font>
      <b val="1"/>
      <color rgb="009A6400"/>
    </font>
    <font>
      <b val="1"/>
      <color rgb="0038559E"/>
    </font>
    <font>
      <b val="1"/>
      <color rgb="000B6C80"/>
    </font>
    <font>
      <b val="1"/>
      <color rgb="001B7F38"/>
    </font>
    <font>
      <b val="1"/>
      <color rgb="00C4440B"/>
    </font>
    <font>
      <b val="1"/>
      <color rgb="007036B8"/>
    </font>
    <font>
      <b val="1"/>
      <color rgb="00C8232D"/>
    </font>
    <font>
      <b val="1"/>
      <color rgb="004E5B67"/>
    </font>
    <font>
      <b val="1"/>
      <color rgb="007036B8"/>
      <sz val="11"/>
    </font>
    <font>
      <b val="1"/>
      <color rgb="001B7F38"/>
      <sz val="11"/>
    </font>
    <font>
      <b val="1"/>
      <color rgb="000B6C80"/>
      <sz val="11"/>
    </font>
    <font>
      <b val="1"/>
      <color rgb="00C4440B"/>
      <sz val="11"/>
    </font>
    <font>
      <b val="1"/>
      <color rgb="005A6977"/>
      <sz val="11"/>
    </font>
  </fonts>
  <fills count="20">
    <fill>
      <patternFill/>
    </fill>
    <fill>
      <patternFill patternType="gray125"/>
    </fill>
    <fill>
      <patternFill patternType="solid">
        <fgColor rgb="001F63D6"/>
      </patternFill>
    </fill>
    <fill>
      <patternFill patternType="solid">
        <fgColor rgb="007036B8"/>
      </patternFill>
    </fill>
    <fill>
      <patternFill patternType="solid">
        <fgColor rgb="001B7F38"/>
      </patternFill>
    </fill>
    <fill>
      <patternFill patternType="solid">
        <fgColor rgb="00C4440B"/>
      </patternFill>
    </fill>
    <fill>
      <patternFill patternType="solid">
        <fgColor rgb="005A6977"/>
      </patternFill>
    </fill>
    <fill>
      <patternFill patternType="solid">
        <fgColor rgb="000B6C80"/>
      </patternFill>
    </fill>
    <fill>
      <patternFill patternType="solid">
        <fgColor rgb="00DCE8FF"/>
      </patternFill>
    </fill>
    <fill>
      <patternFill patternType="solid">
        <fgColor rgb="00E2ECFF"/>
      </patternFill>
    </fill>
    <fill>
      <patternFill patternType="solid">
        <fgColor rgb="00FFF0CC"/>
      </patternFill>
    </fill>
    <fill>
      <patternFill patternType="solid">
        <fgColor rgb="00E5EBF7"/>
      </patternFill>
    </fill>
    <fill>
      <patternFill patternType="solid">
        <fgColor rgb="00DAF2F7"/>
      </patternFill>
    </fill>
    <fill>
      <patternFill patternType="solid">
        <fgColor rgb="00DFF3E5"/>
      </patternFill>
    </fill>
    <fill>
      <patternFill patternType="solid">
        <fgColor rgb="00FFE8DA"/>
      </patternFill>
    </fill>
    <fill>
      <patternFill patternType="solid">
        <fgColor rgb="00EFE5FB"/>
      </patternFill>
    </fill>
    <fill>
      <patternFill patternType="solid">
        <fgColor rgb="00FDE6E7"/>
      </patternFill>
    </fill>
    <fill>
      <patternFill patternType="solid">
        <fgColor rgb="00E8ECF0"/>
      </patternFill>
    </fill>
    <fill>
      <patternFill patternType="solid">
        <fgColor rgb="004E5B67"/>
      </patternFill>
    </fill>
    <fill>
      <patternFill patternType="solid">
        <fgColor rgb="00FFF2D2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0" fillId="0" borderId="0" applyAlignment="1" pivotButton="0" quotePrefix="0" xfId="0">
      <alignment wrapText="1"/>
    </xf>
    <xf numFmtId="0" fontId="5" fillId="8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13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14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2" fillId="15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16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1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15" fillId="15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19" borderId="1" applyAlignment="1" pivotButton="0" quotePrefix="0" xfId="0">
      <alignment vertical="top" wrapText="1"/>
    </xf>
    <xf numFmtId="0" fontId="16" fillId="1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18" fillId="14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9" borderId="0" pivotButton="0" quotePrefix="0" xfId="0"/>
    <xf numFmtId="0" fontId="7" fillId="10" borderId="0" pivotButton="0" quotePrefix="0" xfId="0"/>
    <xf numFmtId="0" fontId="8" fillId="11" borderId="0" pivotButton="0" quotePrefix="0" xfId="0"/>
    <xf numFmtId="0" fontId="9" fillId="12" borderId="0" pivotButton="0" quotePrefix="0" xfId="0"/>
    <xf numFmtId="0" fontId="10" fillId="13" borderId="0" pivotButton="0" quotePrefix="0" xfId="0"/>
    <xf numFmtId="0" fontId="11" fillId="14" borderId="0" pivotButton="0" quotePrefix="0" xfId="0"/>
    <xf numFmtId="0" fontId="12" fillId="15" borderId="0" pivotButton="0" quotePrefix="0" xfId="0"/>
    <xf numFmtId="0" fontId="13" fillId="16" borderId="0" pivotButton="0" quotePrefix="0" xfId="0"/>
    <xf numFmtId="0" fontId="14" fillId="17" borderId="0" pivotButton="0" quotePrefix="0" xfId="0"/>
    <xf numFmtId="0" fontId="4" fillId="18" borderId="0" pivotButton="0" quotePrefix="0" xfId="0"/>
    <xf numFmtId="0" fontId="19" fillId="17" borderId="0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10">
    <dxf>
      <font/>
      <fill>
        <patternFill patternType="solid">
          <fgColor rgb="00E2ECFF"/>
          <bgColor rgb="00E2ECFF"/>
        </patternFill>
      </fill>
    </dxf>
    <dxf>
      <font/>
      <fill>
        <patternFill patternType="solid">
          <fgColor rgb="00FFF0CC"/>
          <bgColor rgb="00FFF0CC"/>
        </patternFill>
      </fill>
    </dxf>
    <dxf>
      <font/>
      <fill>
        <patternFill patternType="solid">
          <fgColor rgb="00E5EBF7"/>
          <bgColor rgb="00E5EBF7"/>
        </patternFill>
      </fill>
    </dxf>
    <dxf>
      <font/>
      <fill>
        <patternFill patternType="solid">
          <fgColor rgb="00DAF2F7"/>
          <bgColor rgb="00DAF2F7"/>
        </patternFill>
      </fill>
    </dxf>
    <dxf>
      <font/>
      <fill>
        <patternFill patternType="solid">
          <fgColor rgb="00DFF3E5"/>
          <bgColor rgb="00DFF3E5"/>
        </patternFill>
      </fill>
    </dxf>
    <dxf>
      <font/>
      <fill>
        <patternFill patternType="solid">
          <fgColor rgb="00FFE8DA"/>
          <bgColor rgb="00FFE8DA"/>
        </patternFill>
      </fill>
    </dxf>
    <dxf>
      <font/>
      <fill>
        <patternFill patternType="solid">
          <fgColor rgb="00EFE5FB"/>
          <bgColor rgb="00EFE5FB"/>
        </patternFill>
      </fill>
    </dxf>
    <dxf>
      <font/>
      <fill>
        <patternFill patternType="solid">
          <fgColor rgb="00FDE6E7"/>
          <bgColor rgb="00FDE6E7"/>
        </patternFill>
      </fill>
    </dxf>
    <dxf>
      <font/>
      <fill>
        <patternFill patternType="solid">
          <fgColor rgb="00E8ECF0"/>
          <bgColor rgb="00E8ECF0"/>
        </patternFill>
      </fill>
    </dxf>
    <dxf>
      <font>
        <color rgb="00FFFFFF"/>
      </font>
      <fill>
        <patternFill patternType="solid">
          <fgColor rgb="004E5B67"/>
          <bgColor rgb="004E5B6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T_Estatus'!A1" TargetMode="External" Id="rId1"/><Relationship Type="http://schemas.openxmlformats.org/officeDocument/2006/relationships/hyperlink" Target="#'CAT_Sucursales'!A1" TargetMode="External" Id="rId2"/><Relationship Type="http://schemas.openxmlformats.org/officeDocument/2006/relationships/hyperlink" Target="#'CAT_Areas'!A1" TargetMode="External" Id="rId3"/><Relationship Type="http://schemas.openxmlformats.org/officeDocument/2006/relationships/hyperlink" Target="#'CAT_Equipos'!A1" TargetMode="External" Id="rId4"/><Relationship Type="http://schemas.openxmlformats.org/officeDocument/2006/relationships/hyperlink" Target="#'CAT_Personas'!A1" TargetMode="External" Id="rId5"/><Relationship Type="http://schemas.openxmlformats.org/officeDocument/2006/relationships/hyperlink" Target="#'CAT_Gestores'!A1" TargetMode="External" Id="rId6"/><Relationship Type="http://schemas.openxmlformats.org/officeDocument/2006/relationships/hyperlink" Target="#'CAT_Administradores'!A1" TargetMode="External" Id="rId7"/><Relationship Type="http://schemas.openxmlformats.org/officeDocument/2006/relationships/hyperlink" Target="#'CAT_Paqueterias'!A1" TargetMode="External" Id="rId8"/><Relationship Type="http://schemas.openxmlformats.org/officeDocument/2006/relationships/hyperlink" Target="#'CAT_Motivos'!A1" TargetMode="External" Id="rId9"/><Relationship Type="http://schemas.openxmlformats.org/officeDocument/2006/relationships/hyperlink" Target="#'CFG_Ajustes'!A1" TargetMode="External" Id="rId10"/><Relationship Type="http://schemas.openxmlformats.org/officeDocument/2006/relationships/hyperlink" Target="#'RES_Traspasos'!A1" TargetMode="External" Id="rId11"/><Relationship Type="http://schemas.openxmlformats.org/officeDocument/2006/relationships/hyperlink" Target="#'RES_Movimientos'!A1" TargetMode="External" Id="rId12"/><Relationship Type="http://schemas.openxmlformats.org/officeDocument/2006/relationships/hyperlink" Target="#'RES_Escaneos'!A1" TargetMode="External" Id="rId13"/><Relationship Type="http://schemas.openxmlformats.org/officeDocument/2006/relationships/hyperlink" Target="#'RES_Etiquetas'!A1" TargetMode="External" Id="rId14"/><Relationship Type="http://schemas.openxmlformats.org/officeDocument/2006/relationships/hyperlink" Target="#'RES_Solicitudes'!A1" TargetMode="External" Id="rId15"/><Relationship Type="http://schemas.openxmlformats.org/officeDocument/2006/relationships/hyperlink" Target="#'RES_Administracion'!A1" TargetMode="External" Id="rId16"/><Relationship Type="http://schemas.openxmlformats.org/officeDocument/2006/relationships/hyperlink" Target="#'RES_Sesiones'!A1" TargetMode="External" Id="rId17"/><Relationship Type="http://schemas.openxmlformats.org/officeDocument/2006/relationships/hyperlink" Target="#'RES_Avisos'!A1" TargetMode="External" Id="rId18"/><Relationship Type="http://schemas.openxmlformats.org/officeDocument/2006/relationships/hyperlink" Target="#'IMP_Recolecciones'!A1" TargetMode="External" Id="rId19"/><Relationship Type="http://schemas.openxmlformats.org/officeDocument/2006/relationships/hyperlink" Target="#'IMP_NoRegistrados'!A1" TargetMode="External" Id="rId20"/><Relationship Type="http://schemas.openxmlformats.org/officeDocument/2006/relationships/hyperlink" Target="#'REP_Resumen'!A1" TargetMode="External" Id="rId21"/><Relationship Type="http://schemas.openxmlformats.org/officeDocument/2006/relationships/hyperlink" Target="#'SYS_Folios'!A1" TargetMode="External" Id="rId22"/></Relationships>
</file>

<file path=xl/worksheets/sheet1.xml><?xml version="1.0" encoding="utf-8"?>
<worksheet xmlns="http://schemas.openxmlformats.org/spreadsheetml/2006/main">
  <sheetPr>
    <tabColor rgb="0014202B"/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70" customWidth="1" min="3" max="3"/>
    <col width="28" customWidth="1" min="4" max="4"/>
  </cols>
  <sheetData>
    <row r="1">
      <c r="A1" s="1" t="inlineStr">
        <is>
          <t>TRASPASOS FADERMEX · BASE DE DATOS</t>
        </is>
      </c>
    </row>
    <row r="2">
      <c r="A2" s="2" t="inlineStr">
        <is>
          <t>Mapa de este archivo: qué es cada hoja, quién la usa y qué significa cada color. Dueño: jaraujo@fadermex.com</t>
        </is>
      </c>
    </row>
    <row r="4">
      <c r="A4" s="3" t="inlineStr">
        <is>
          <t>COLOR DE PESTAÑA</t>
        </is>
      </c>
    </row>
    <row r="5">
      <c r="A5" s="4" t="inlineStr">
        <is>
          <t>CAT_…</t>
        </is>
      </c>
      <c r="C5" t="inlineStr">
        <is>
          <t>CATÁLOGO · La app LEE esta hoja · Solo administradores la editan</t>
        </is>
      </c>
    </row>
    <row r="6">
      <c r="A6" s="5" t="inlineStr">
        <is>
          <t>CFG_…</t>
        </is>
      </c>
      <c r="C6" t="inlineStr">
        <is>
          <t>AJUSTES · La app LEE esta hoja · Solo administradores la editan</t>
        </is>
      </c>
    </row>
    <row r="7">
      <c r="A7" s="6" t="inlineStr">
        <is>
          <t>RES_…</t>
        </is>
      </c>
      <c r="C7" t="inlineStr">
        <is>
          <t>RESULTADOS · La app ESCRIBE aquí sola · NO editar a mano</t>
        </is>
      </c>
    </row>
    <row r="8">
      <c r="A8" s="7" t="inlineStr">
        <is>
          <t>REP_…</t>
        </is>
      </c>
      <c r="C8" t="inlineStr">
        <is>
          <t>REPORTE · Fórmulas automáticas · Solo consultar</t>
        </is>
      </c>
    </row>
    <row r="9">
      <c r="A9" s="8" t="inlineStr">
        <is>
          <t>SYS_…</t>
        </is>
      </c>
      <c r="C9" t="inlineStr">
        <is>
          <t>SISTEMA · Uso interno de la app · NO TOCAR</t>
        </is>
      </c>
    </row>
    <row r="10">
      <c r="A10" s="9" t="inlineStr">
        <is>
          <t>IMP_…</t>
        </is>
      </c>
      <c r="C10" t="inlineStr">
        <is>
          <t>IMPORTADO · Se copia solo desde tu archivo de Operaciones · NO editar</t>
        </is>
      </c>
    </row>
    <row r="12">
      <c r="A12" s="3" t="inlineStr">
        <is>
          <t>REGLAS DE ORO</t>
        </is>
      </c>
    </row>
    <row r="13">
      <c r="A13" t="inlineStr">
        <is>
          <t>•</t>
        </is>
      </c>
      <c r="C13" s="10" t="inlineStr">
        <is>
          <t>En todas las hojas: fila 1 = descripción, fila 2 = encabezados, datos desde la fila 3.</t>
        </is>
      </c>
    </row>
    <row r="14">
      <c r="A14" t="inlineStr">
        <is>
          <t>•</t>
        </is>
      </c>
      <c r="C14" s="10" t="inlineStr">
        <is>
          <t>Al final de esta hoja está el diccionario de columnas: qué significa cada columna importante.</t>
        </is>
      </c>
    </row>
    <row r="15">
      <c r="A15" t="inlineStr">
        <is>
          <t>•</t>
        </is>
      </c>
      <c r="C15" s="10" t="inlineStr">
        <is>
          <t>Hojas CAT_ y CFG_: aquí se agregan sucursales, áreas, personas, gestores y ajustes. La app toma los cambios sola.</t>
        </is>
      </c>
    </row>
    <row r="16">
      <c r="A16" t="inlineStr">
        <is>
          <t>•</t>
        </is>
      </c>
      <c r="C16" s="10" t="inlineStr">
        <is>
          <t>Hojas RES_: las llena la app. No escribir, borrar ni ordenar a mano (usa filtros o una copia).</t>
        </is>
      </c>
    </row>
    <row r="17">
      <c r="A17" t="inlineStr">
        <is>
          <t>•</t>
        </is>
      </c>
      <c r="C17" s="10" t="inlineStr">
        <is>
          <t>Prefijos de folio: únicos, de 2 a 5 letras (o con -RB para Rebotica). Un prefijo usado NO se cambia ni se reutiliza.</t>
        </is>
      </c>
    </row>
    <row r="18">
      <c r="A18" t="inlineStr">
        <is>
          <t>•</t>
        </is>
      </c>
      <c r="C18" s="10" t="inlineStr">
        <is>
          <t>Para quitar un área o persona: Activo = NO. Nunca borres la fila, porque se pierde su historial.</t>
        </is>
      </c>
    </row>
    <row r="19">
      <c r="A19" t="inlineStr">
        <is>
          <t>•</t>
        </is>
      </c>
      <c r="C19" s="10" t="inlineStr">
        <is>
          <t>Hoja SYS_Folios: la app lleva aquí el último número de cada prefijo. NO TOCAR.</t>
        </is>
      </c>
    </row>
    <row r="21">
      <c r="A21" s="3" t="inlineStr">
        <is>
          <t>HOJA</t>
        </is>
      </c>
      <c r="B21" s="3" t="inlineStr">
        <is>
          <t>TIPO</t>
        </is>
      </c>
      <c r="C21" s="3" t="inlineStr">
        <is>
          <t>PARA QUÉ SIRVE</t>
        </is>
      </c>
      <c r="D21" s="3" t="inlineStr">
        <is>
          <t>QUIÉN LA EDITA</t>
        </is>
      </c>
    </row>
    <row r="22">
      <c r="A22" s="4" t="inlineStr">
        <is>
          <t>CAT_Estatus</t>
        </is>
      </c>
      <c r="B22" t="inlineStr">
        <is>
          <t>CAT</t>
        </is>
      </c>
      <c r="C22" t="inlineStr">
        <is>
          <t>Estatus, colores y significado de cada uno.</t>
        </is>
      </c>
      <c r="D22" t="inlineStr">
        <is>
          <t>Administradores</t>
        </is>
      </c>
    </row>
    <row r="23">
      <c r="A23" s="4" t="inlineStr">
        <is>
          <t>CAT_Sucursales</t>
        </is>
      </c>
      <c r="B23" t="inlineStr">
        <is>
          <t>CAT</t>
        </is>
      </c>
      <c r="C23" t="inlineStr">
        <is>
          <t>Lugares físicos (Oficinas, sucursales, Morelia, Botican).</t>
        </is>
      </c>
      <c r="D23" t="inlineStr">
        <is>
          <t>Administradores</t>
        </is>
      </c>
    </row>
    <row r="24">
      <c r="A24" s="4" t="inlineStr">
        <is>
          <t>CAT_Areas</t>
        </is>
      </c>
      <c r="B24" t="inlineStr">
        <is>
          <t>CAT</t>
        </is>
      </c>
      <c r="C24" t="inlineStr">
        <is>
          <t>Áreas y subáreas con su prefijo de folio y correo.</t>
        </is>
      </c>
      <c r="D24" t="inlineStr">
        <is>
          <t>Administradores</t>
        </is>
      </c>
    </row>
    <row r="25">
      <c r="A25" s="4" t="inlineStr">
        <is>
          <t>CAT_Equipos</t>
        </is>
      </c>
      <c r="B25" t="inlineStr">
        <is>
          <t>CAT</t>
        </is>
      </c>
      <c r="C25" t="inlineStr">
        <is>
          <t>Cada computadora fija a su área (PV o Rebotica).</t>
        </is>
      </c>
      <c r="D25" t="inlineStr">
        <is>
          <t>Administradores</t>
        </is>
      </c>
    </row>
    <row r="26">
      <c r="A26" s="4" t="inlineStr">
        <is>
          <t>CAT_Personas</t>
        </is>
      </c>
      <c r="B26" t="inlineStr">
        <is>
          <t>CAT</t>
        </is>
      </c>
      <c r="C26" t="inlineStr">
        <is>
          <t>Personal y credenciales (incluye quien no tiene credencial).</t>
        </is>
      </c>
      <c r="D26" t="inlineStr">
        <is>
          <t>Administradores</t>
        </is>
      </c>
    </row>
    <row r="27">
      <c r="A27" s="4" t="inlineStr">
        <is>
          <t>CAT_Gestores</t>
        </is>
      </c>
      <c r="B27" t="inlineStr">
        <is>
          <t>CAT</t>
        </is>
      </c>
      <c r="C27" t="inlineStr">
        <is>
          <t>Gestores y sus credenciales.</t>
        </is>
      </c>
      <c r="D27" t="inlineStr">
        <is>
          <t>Administradores</t>
        </is>
      </c>
    </row>
    <row r="28">
      <c r="A28" s="4" t="inlineStr">
        <is>
          <t>CAT_Administradores</t>
        </is>
      </c>
      <c r="B28" t="inlineStr">
        <is>
          <t>CAT</t>
        </is>
      </c>
      <c r="C28" t="inlineStr">
        <is>
          <t>Las 3 cuentas con control total.</t>
        </is>
      </c>
      <c r="D28" t="inlineStr">
        <is>
          <t>Administradores</t>
        </is>
      </c>
    </row>
    <row r="29">
      <c r="A29" s="4" t="inlineStr">
        <is>
          <t>CAT_Paqueterias</t>
        </is>
      </c>
      <c r="B29" t="inlineStr">
        <is>
          <t>CAT</t>
        </is>
      </c>
      <c r="C29" t="inlineStr">
        <is>
          <t>Paqueterías para Morelia.</t>
        </is>
      </c>
      <c r="D29" t="inlineStr">
        <is>
          <t>Administradores</t>
        </is>
      </c>
    </row>
    <row r="30">
      <c r="A30" s="4" t="inlineStr">
        <is>
          <t>CAT_Motivos</t>
        </is>
      </c>
      <c r="B30" t="inlineStr">
        <is>
          <t>CAT</t>
        </is>
      </c>
      <c r="C30" t="inlineStr">
        <is>
          <t>Listas de motivos.</t>
        </is>
      </c>
      <c r="D30" t="inlineStr">
        <is>
          <t>Administradores</t>
        </is>
      </c>
    </row>
    <row r="31">
      <c r="A31" s="5" t="inlineStr">
        <is>
          <t>CFG_Ajustes</t>
        </is>
      </c>
      <c r="B31" t="inlineStr">
        <is>
          <t>CFG</t>
        </is>
      </c>
      <c r="C31" t="inlineStr">
        <is>
          <t>Tiempos de sesión, alertas, etiqueta, pendientes.</t>
        </is>
      </c>
      <c r="D31" t="inlineStr">
        <is>
          <t>Administradores</t>
        </is>
      </c>
    </row>
    <row r="32">
      <c r="A32" s="6" t="inlineStr">
        <is>
          <t>RES_Traspasos</t>
        </is>
      </c>
      <c r="B32" t="inlineStr">
        <is>
          <t>RES</t>
        </is>
      </c>
      <c r="C32" t="inlineStr">
        <is>
          <t>Estado actual de cada traspaso.</t>
        </is>
      </c>
      <c r="D32" t="inlineStr">
        <is>
          <t>Solo la app</t>
        </is>
      </c>
    </row>
    <row r="33">
      <c r="A33" s="6" t="inlineStr">
        <is>
          <t>RES_Movimientos</t>
        </is>
      </c>
      <c r="B33" t="inlineStr">
        <is>
          <t>RES</t>
        </is>
      </c>
      <c r="C33" t="inlineStr">
        <is>
          <t>Historial completo (línea de tiempo).</t>
        </is>
      </c>
      <c r="D33" t="inlineStr">
        <is>
          <t>Solo la app</t>
        </is>
      </c>
    </row>
    <row r="34">
      <c r="A34" s="6" t="inlineStr">
        <is>
          <t>RES_Escaneos</t>
        </is>
      </c>
      <c r="B34" t="inlineStr">
        <is>
          <t>RES</t>
        </is>
      </c>
      <c r="C34" t="inlineStr">
        <is>
          <t>Todos los escaneos, con errores.</t>
        </is>
      </c>
      <c r="D34" t="inlineStr">
        <is>
          <t>Solo la app</t>
        </is>
      </c>
    </row>
    <row r="35">
      <c r="A35" s="6" t="inlineStr">
        <is>
          <t>RES_Etiquetas</t>
        </is>
      </c>
      <c r="B35" t="inlineStr">
        <is>
          <t>RES</t>
        </is>
      </c>
      <c r="C35" t="inlineStr">
        <is>
          <t>Impresiones y reimpresiones.</t>
        </is>
      </c>
      <c r="D35" t="inlineStr">
        <is>
          <t>Solo la app</t>
        </is>
      </c>
    </row>
    <row r="36">
      <c r="A36" s="6" t="inlineStr">
        <is>
          <t>RES_Solicitudes</t>
        </is>
      </c>
      <c r="B36" t="inlineStr">
        <is>
          <t>RES</t>
        </is>
      </c>
      <c r="C36" t="inlineStr">
        <is>
          <t>Solicitudes de eliminación.</t>
        </is>
      </c>
      <c r="D36" t="inlineStr">
        <is>
          <t>Solo la app</t>
        </is>
      </c>
    </row>
    <row r="37">
      <c r="A37" s="6" t="inlineStr">
        <is>
          <t>RES_Administracion</t>
        </is>
      </c>
      <c r="B37" t="inlineStr">
        <is>
          <t>RES</t>
        </is>
      </c>
      <c r="C37" t="inlineStr">
        <is>
          <t>Acciones de administradores.</t>
        </is>
      </c>
      <c r="D37" t="inlineStr">
        <is>
          <t>Solo la app</t>
        </is>
      </c>
    </row>
    <row r="38">
      <c r="A38" s="6" t="inlineStr">
        <is>
          <t>RES_Sesiones</t>
        </is>
      </c>
      <c r="B38" t="inlineStr">
        <is>
          <t>RES</t>
        </is>
      </c>
      <c r="C38" t="inlineStr">
        <is>
          <t>Entradas y salidas.</t>
        </is>
      </c>
      <c r="D38" t="inlineStr">
        <is>
          <t>Solo la app</t>
        </is>
      </c>
    </row>
    <row r="39">
      <c r="A39" s="6" t="inlineStr">
        <is>
          <t>RES_Avisos</t>
        </is>
      </c>
      <c r="B39" t="inlineStr">
        <is>
          <t>RES</t>
        </is>
      </c>
      <c r="C39" t="inlineStr">
        <is>
          <t>Avisos enviados a cada área.</t>
        </is>
      </c>
      <c r="D39" t="inlineStr">
        <is>
          <t>Solo la app</t>
        </is>
      </c>
    </row>
    <row r="40">
      <c r="A40" s="9" t="inlineStr">
        <is>
          <t>IMP_Recolecciones</t>
        </is>
      </c>
      <c r="B40" t="inlineStr">
        <is>
          <t>IMP</t>
        </is>
      </c>
      <c r="C40" t="inlineStr">
        <is>
          <t>Recolecciones de gestores, copiadas de tu archivo de Operaciones.</t>
        </is>
      </c>
      <c r="D40" t="inlineStr">
        <is>
          <t>Nadie (se copia solo)</t>
        </is>
      </c>
    </row>
    <row r="41">
      <c r="A41" s="9" t="inlineStr">
        <is>
          <t>IMP_NoRegistrados</t>
        </is>
      </c>
      <c r="B41" t="inlineStr">
        <is>
          <t>IMP</t>
        </is>
      </c>
      <c r="C41" t="inlineStr">
        <is>
          <t>Folios escaneados por gestores que no existen en este sistema.</t>
        </is>
      </c>
      <c r="D41" t="inlineStr">
        <is>
          <t>Nadie (se copia solo)</t>
        </is>
      </c>
    </row>
    <row r="42">
      <c r="A42" s="7" t="inlineStr">
        <is>
          <t>REP_Resumen</t>
        </is>
      </c>
      <c r="B42" t="inlineStr">
        <is>
          <t>REP</t>
        </is>
      </c>
      <c r="C42" t="inlineStr">
        <is>
          <t>Conteos por estatus y por área.</t>
        </is>
      </c>
      <c r="D42" t="inlineStr">
        <is>
          <t>Nadie (fórmulas)</t>
        </is>
      </c>
    </row>
    <row r="43">
      <c r="A43" s="8" t="inlineStr">
        <is>
          <t>SYS_Folios</t>
        </is>
      </c>
      <c r="B43" t="inlineStr">
        <is>
          <t>SYS</t>
        </is>
      </c>
      <c r="C43" t="inlineStr">
        <is>
          <t>Contadores de folios.</t>
        </is>
      </c>
      <c r="D43" t="inlineStr">
        <is>
          <t>Solo la app</t>
        </is>
      </c>
    </row>
    <row r="45">
      <c r="A45" s="3" t="inlineStr">
        <is>
          <t>DICCIONARIO DE COLUMNAS</t>
        </is>
      </c>
    </row>
    <row r="46">
      <c r="A46" s="3" t="inlineStr">
        <is>
          <t>HOJA</t>
        </is>
      </c>
      <c r="B46" s="3" t="inlineStr">
        <is>
          <t>COLUMNA</t>
        </is>
      </c>
      <c r="C46" s="3" t="inlineStr">
        <is>
          <t>QUÉ SIGNIFICA</t>
        </is>
      </c>
    </row>
    <row r="47">
      <c r="A47" t="inlineStr">
        <is>
          <t>CAT_Estatus</t>
        </is>
      </c>
      <c r="B47" t="inlineStr">
        <is>
          <t>Clave</t>
        </is>
      </c>
      <c r="C47" s="10" t="inlineStr">
        <is>
          <t>Código interno. NO cambiar.</t>
        </is>
      </c>
    </row>
    <row r="48">
      <c r="A48" t="inlineStr">
        <is>
          <t>CAT_Estatus</t>
        </is>
      </c>
      <c r="B48" t="inlineStr">
        <is>
          <t>Nombre en pantalla</t>
        </is>
      </c>
      <c r="C48" s="10" t="inlineStr">
        <is>
          <t>Texto que ve el usuario.</t>
        </is>
      </c>
    </row>
    <row r="49">
      <c r="A49" t="inlineStr">
        <is>
          <t>CAT_Estatus</t>
        </is>
      </c>
      <c r="B49" t="inlineStr">
        <is>
          <t>Color texto (hex)</t>
        </is>
      </c>
      <c r="C49" s="10" t="inlineStr">
        <is>
          <t>Color del texto/punto del estatus en la app.</t>
        </is>
      </c>
    </row>
    <row r="50">
      <c r="A50" t="inlineStr">
        <is>
          <t>CAT_Estatus</t>
        </is>
      </c>
      <c r="B50" t="inlineStr">
        <is>
          <t>Color fondo (hex)</t>
        </is>
      </c>
      <c r="C50" s="10" t="inlineStr">
        <is>
          <t>Color de fondo de la etiqueta de estatus en la app.</t>
        </is>
      </c>
    </row>
    <row r="51">
      <c r="A51" t="inlineStr">
        <is>
          <t>CAT_Estatus</t>
        </is>
      </c>
      <c r="B51" t="inlineStr">
        <is>
          <t>Estado en app de gestores</t>
        </is>
      </c>
      <c r="C51" s="10" t="inlineStr">
        <is>
          <t>Qué Estado de APP_Traspasos (archivo de Operaciones) produce este estatus.</t>
        </is>
      </c>
    </row>
    <row r="52">
      <c r="A52" t="inlineStr">
        <is>
          <t>CAT_Sucursales</t>
        </is>
      </c>
      <c r="B52" t="inlineStr">
        <is>
          <t>ID</t>
        </is>
      </c>
      <c r="C52" s="10" t="inlineStr">
        <is>
          <t>Código corto del lugar.</t>
        </is>
      </c>
    </row>
    <row r="53">
      <c r="A53" t="inlineStr">
        <is>
          <t>CAT_Sucursales</t>
        </is>
      </c>
      <c r="B53" t="inlineStr">
        <is>
          <t>Tipo</t>
        </is>
      </c>
      <c r="C53" s="10" t="inlineStr">
        <is>
          <t>Oficinas / Sucursal / Foránea / Área independiente</t>
        </is>
      </c>
    </row>
    <row r="54">
      <c r="A54" t="inlineStr">
        <is>
          <t>CAT_Sucursales</t>
        </is>
      </c>
      <c r="B54" t="inlineStr">
        <is>
          <t>Cómo se envía</t>
        </is>
      </c>
      <c r="C54" s="10" t="inlineStr">
        <is>
          <t>Gestoría, paquetería o entrega interna.</t>
        </is>
      </c>
    </row>
    <row r="55">
      <c r="A55" t="inlineStr">
        <is>
          <t>CAT_Sucursales</t>
        </is>
      </c>
      <c r="B55" t="inlineStr">
        <is>
          <t>Activa</t>
        </is>
      </c>
      <c r="C55" s="10" t="inlineStr">
        <is>
          <t>SI / NO</t>
        </is>
      </c>
    </row>
    <row r="56">
      <c r="A56" t="inlineStr">
        <is>
          <t>CAT_Areas</t>
        </is>
      </c>
      <c r="B56" t="inlineStr">
        <is>
          <t>Prefijo de folio</t>
        </is>
      </c>
      <c r="C56" s="10" t="inlineStr">
        <is>
          <t>Único. 2 a 5 letras (o XX-RB). No cambiar una vez usado.</t>
        </is>
      </c>
    </row>
    <row r="57">
      <c r="A57" t="inlineStr">
        <is>
          <t>CAT_Areas</t>
        </is>
      </c>
      <c r="B57" t="inlineStr">
        <is>
          <t>Sucursal (ID)</t>
        </is>
      </c>
      <c r="C57" s="10" t="inlineStr">
        <is>
          <t>ID de CAT_Sucursales</t>
        </is>
      </c>
    </row>
    <row r="58">
      <c r="A58" t="inlineStr">
        <is>
          <t>CAT_Areas</t>
        </is>
      </c>
      <c r="B58" t="inlineStr">
        <is>
          <t>Correo de la cuenta</t>
        </is>
      </c>
      <c r="C58" s="10" t="inlineStr">
        <is>
          <t>Correo con el que entra. En sucursales PV y Rebotica comparten la cuenta.</t>
        </is>
      </c>
    </row>
    <row r="59">
      <c r="A59" t="inlineStr">
        <is>
          <t>CAT_Areas</t>
        </is>
      </c>
      <c r="B59" t="inlineStr">
        <is>
          <t>Activa</t>
        </is>
      </c>
      <c r="C59" s="10" t="inlineStr">
        <is>
          <t>SI / NO. Para quitar un área pon NO; no borres la fila.</t>
        </is>
      </c>
    </row>
    <row r="60">
      <c r="A60" t="inlineStr">
        <is>
          <t>CAT_Equipos</t>
        </is>
      </c>
      <c r="B60" t="inlineStr">
        <is>
          <t>ID equipo</t>
        </is>
      </c>
      <c r="C60" s="10" t="inlineStr">
        <is>
          <t>Se configura una sola vez en la computadora (lo hace un administrador).</t>
        </is>
      </c>
    </row>
    <row r="61">
      <c r="A61" t="inlineStr">
        <is>
          <t>CAT_Equipos</t>
        </is>
      </c>
      <c r="B61" t="inlineStr">
        <is>
          <t>Área (prefijo)</t>
        </is>
      </c>
      <c r="C61" s="10" t="inlineStr">
        <is>
          <t>Área con la que crea y da salida a traspasos.</t>
        </is>
      </c>
    </row>
    <row r="62">
      <c r="A62" t="inlineStr">
        <is>
          <t>CAT_Equipos</t>
        </is>
      </c>
      <c r="B62" t="inlineStr">
        <is>
          <t>Activo</t>
        </is>
      </c>
      <c r="C62" s="10" t="inlineStr">
        <is>
          <t>SI / NO</t>
        </is>
      </c>
    </row>
    <row r="63">
      <c r="A63" t="inlineStr">
        <is>
          <t>CAT_Personas</t>
        </is>
      </c>
      <c r="B63" t="inlineStr">
        <is>
          <t>Código de credencial</t>
        </is>
      </c>
      <c r="C63" s="10" t="inlineStr">
        <is>
          <t>Lo que lee la pistola al escanear la credencial.</t>
        </is>
      </c>
    </row>
    <row r="64">
      <c r="A64" t="inlineStr">
        <is>
          <t>CAT_Personas</t>
        </is>
      </c>
      <c r="B64" t="inlineStr">
        <is>
          <t>Área (prefijo)</t>
        </is>
      </c>
      <c r="C64" s="10" t="inlineStr">
        <is>
          <t>Área donde trabaja.</t>
        </is>
      </c>
    </row>
    <row r="65">
      <c r="A65" t="inlineStr">
        <is>
          <t>CAT_Personas</t>
        </is>
      </c>
      <c r="B65" t="inlineStr">
        <is>
          <t>Tiene credencial</t>
        </is>
      </c>
      <c r="C65" s="10" t="inlineStr">
        <is>
          <t>SI / NO</t>
        </is>
      </c>
    </row>
    <row r="66">
      <c r="A66" t="inlineStr">
        <is>
          <t>CAT_Personas</t>
        </is>
      </c>
      <c r="B66" t="inlineStr">
        <is>
          <t>Activo</t>
        </is>
      </c>
      <c r="C66" s="10" t="inlineStr">
        <is>
          <t>SI / NO. Si pierde la credencial: Activo = NO y se le da una nueva.</t>
        </is>
      </c>
    </row>
    <row r="67">
      <c r="A67" t="inlineStr">
        <is>
          <t>CAT_Personas</t>
        </is>
      </c>
      <c r="B67" t="inlineStr">
        <is>
          <t>Alta</t>
        </is>
      </c>
      <c r="C67" s="10" t="inlineStr">
        <is>
          <t>Fecha de registro</t>
        </is>
      </c>
    </row>
    <row r="68">
      <c r="A68" t="inlineStr">
        <is>
          <t>CAT_Gestores</t>
        </is>
      </c>
      <c r="B68" t="inlineStr">
        <is>
          <t>Activo</t>
        </is>
      </c>
      <c r="C68" s="10" t="inlineStr">
        <is>
          <t>SI / NO</t>
        </is>
      </c>
    </row>
    <row r="69">
      <c r="A69" t="inlineStr">
        <is>
          <t>CAT_Administradores</t>
        </is>
      </c>
      <c r="B69" t="inlineStr">
        <is>
          <t>Rol</t>
        </is>
      </c>
      <c r="C69" s="10" t="inlineStr">
        <is>
          <t>Dueño / Administrador</t>
        </is>
      </c>
    </row>
    <row r="70">
      <c r="A70" t="inlineStr">
        <is>
          <t>CAT_Administradores</t>
        </is>
      </c>
      <c r="B70" t="inlineStr">
        <is>
          <t>Activo</t>
        </is>
      </c>
      <c r="C70" s="10" t="inlineStr">
        <is>
          <t>SI / NO</t>
        </is>
      </c>
    </row>
    <row r="71">
      <c r="A71" t="inlineStr">
        <is>
          <t>CAT_Paqueterias</t>
        </is>
      </c>
      <c r="B71" t="inlineStr">
        <is>
          <t>Activa</t>
        </is>
      </c>
      <c r="C71" s="10" t="inlineStr">
        <is>
          <t>SI / NO</t>
        </is>
      </c>
    </row>
    <row r="72">
      <c r="A72" t="inlineStr">
        <is>
          <t>CAT_Motivos</t>
        </is>
      </c>
      <c r="B72" t="inlineStr">
        <is>
          <t>Tipo</t>
        </is>
      </c>
      <c r="C72" s="10" t="inlineStr">
        <is>
          <t>REIMPRESION / ELIMINACION / INCIDENCIA</t>
        </is>
      </c>
    </row>
    <row r="73">
      <c r="A73" t="inlineStr">
        <is>
          <t>CAT_Motivos</t>
        </is>
      </c>
      <c r="B73" t="inlineStr">
        <is>
          <t>Activo</t>
        </is>
      </c>
      <c r="C73" s="10" t="inlineStr">
        <is>
          <t>SI / NO</t>
        </is>
      </c>
    </row>
    <row r="74">
      <c r="A74" t="inlineStr">
        <is>
          <t>CFG_Ajustes</t>
        </is>
      </c>
      <c r="B74" t="inlineStr">
        <is>
          <t>Parámetro</t>
        </is>
      </c>
      <c r="C74" s="10" t="inlineStr">
        <is>
          <t>NO cambiar el nombre.</t>
        </is>
      </c>
    </row>
    <row r="75">
      <c r="A75" t="inlineStr">
        <is>
          <t>RES_Traspasos</t>
        </is>
      </c>
      <c r="B75" t="inlineStr">
        <is>
          <t>Folio</t>
        </is>
      </c>
      <c r="C75" s="10" t="inlineStr">
        <is>
          <t>Prefijo + consecutivo. Único.</t>
        </is>
      </c>
    </row>
    <row r="76">
      <c r="A76" t="inlineStr">
        <is>
          <t>RES_Traspasos</t>
        </is>
      </c>
      <c r="B76" t="inlineStr">
        <is>
          <t>Sin credencial</t>
        </is>
      </c>
      <c r="C76" s="10" t="inlineStr">
        <is>
          <t>SI si se creó sin credencial.</t>
        </is>
      </c>
    </row>
    <row r="77">
      <c r="A77" t="inlineStr">
        <is>
          <t>RES_Traspasos</t>
        </is>
      </c>
      <c r="B77" t="inlineStr">
        <is>
          <t>Estatus</t>
        </is>
      </c>
      <c r="C77" s="10" t="inlineStr">
        <is>
          <t>Clave de CAT_Estatus. El color de la fila sale de ahí.</t>
        </is>
      </c>
    </row>
    <row r="78">
      <c r="A78" t="inlineStr">
        <is>
          <t>RES_Traspasos</t>
        </is>
      </c>
      <c r="B78" t="inlineStr">
        <is>
          <t>Ubicación actual</t>
        </is>
      </c>
      <c r="C78" s="10" t="inlineStr">
        <is>
          <t>Llena solo si el estatus es UBICADO.</t>
        </is>
      </c>
    </row>
    <row r="79">
      <c r="A79" t="inlineStr">
        <is>
          <t>RES_Traspasos</t>
        </is>
      </c>
      <c r="B79" t="inlineStr">
        <is>
          <t>Ruta</t>
        </is>
      </c>
      <c r="C79" s="10" t="inlineStr">
        <is>
          <t>DIRECTA o VIA_LOGISTICA (Morelia).</t>
        </is>
      </c>
    </row>
    <row r="80">
      <c r="A80" t="inlineStr">
        <is>
          <t>RES_Traspasos</t>
        </is>
      </c>
      <c r="B80" t="inlineStr">
        <is>
          <t>Reimpresiones</t>
        </is>
      </c>
      <c r="C80" s="10" t="inlineStr">
        <is>
          <t>Cuántas veces se reimprimieron etiquetas.</t>
        </is>
      </c>
    </row>
    <row r="81">
      <c r="A81" t="inlineStr">
        <is>
          <t>RES_Traspasos</t>
        </is>
      </c>
      <c r="B81" t="inlineStr">
        <is>
          <t>Eliminación solicitada</t>
        </is>
      </c>
      <c r="C81" s="10" t="inlineStr">
        <is>
          <t>SI / NO</t>
        </is>
      </c>
    </row>
    <row r="82">
      <c r="A82" t="inlineStr">
        <is>
          <t>RES_Movimientos</t>
        </is>
      </c>
      <c r="B82" t="inlineStr">
        <is>
          <t>Acción</t>
        </is>
      </c>
      <c r="C82" s="10" t="inlineStr">
        <is>
          <t>CREADO, ETIQUETAS, RECOLECTADO, RECIBIDO, PAQUETERIA, REIMPRESION, SOLICITUD, EDICION_ADMIN…</t>
        </is>
      </c>
    </row>
    <row r="83">
      <c r="A83" t="inlineStr">
        <is>
          <t>RES_Movimientos</t>
        </is>
      </c>
      <c r="B83" t="inlineStr">
        <is>
          <t>Medio</t>
        </is>
      </c>
      <c r="C83" s="10" t="inlineStr">
        <is>
          <t>PISTOLA, CELULAR, TECLADO, CREDENCIAL_GESTOR</t>
        </is>
      </c>
    </row>
    <row r="84">
      <c r="A84" t="inlineStr">
        <is>
          <t>RES_Movimientos</t>
        </is>
      </c>
      <c r="B84" t="inlineStr">
        <is>
          <t>Equipo</t>
        </is>
      </c>
      <c r="C84" s="10" t="inlineStr">
        <is>
          <t>ID de CAT_Equipos</t>
        </is>
      </c>
    </row>
    <row r="85">
      <c r="A85" t="inlineStr">
        <is>
          <t>RES_Escaneos</t>
        </is>
      </c>
      <c r="B85" t="inlineStr">
        <is>
          <t>Modo</t>
        </is>
      </c>
      <c r="C85" s="10" t="inlineStr">
        <is>
          <t>RECIBIR, ENTREGAR_A_GESTOR, RECOLECTAR</t>
        </is>
      </c>
    </row>
    <row r="86">
      <c r="A86" t="inlineStr">
        <is>
          <t>RES_Escaneos</t>
        </is>
      </c>
      <c r="B86" t="inlineStr">
        <is>
          <t>Resultado</t>
        </is>
      </c>
      <c r="C86" s="10" t="inlineStr">
        <is>
          <t>OK, AVISO, ERROR</t>
        </is>
      </c>
    </row>
    <row r="87">
      <c r="A87" t="inlineStr">
        <is>
          <t>RES_Etiquetas</t>
        </is>
      </c>
      <c r="B87" t="inlineStr">
        <is>
          <t>Bulto</t>
        </is>
      </c>
      <c r="C87" s="10" t="inlineStr">
        <is>
          <t>Ej. 2/3</t>
        </is>
      </c>
    </row>
    <row r="88">
      <c r="A88" t="inlineStr">
        <is>
          <t>RES_Etiquetas</t>
        </is>
      </c>
      <c r="B88" t="inlineStr">
        <is>
          <t>Impresión</t>
        </is>
      </c>
      <c r="C88" s="10" t="inlineStr">
        <is>
          <t>ORIGINAL o R1, R2…</t>
        </is>
      </c>
    </row>
    <row r="89">
      <c r="A89" t="inlineStr">
        <is>
          <t>RES_Solicitudes</t>
        </is>
      </c>
      <c r="B89" t="inlineStr">
        <is>
          <t>Estado</t>
        </is>
      </c>
      <c r="C89" s="10" t="inlineStr">
        <is>
          <t>PENDIENTE, APROBADA, RECHAZADA</t>
        </is>
      </c>
    </row>
    <row r="90">
      <c r="A90" t="inlineStr">
        <is>
          <t>RES_Administracion</t>
        </is>
      </c>
      <c r="B90" t="inlineStr">
        <is>
          <t>Objeto</t>
        </is>
      </c>
      <c r="C90" s="10" t="inlineStr">
        <is>
          <t>Folio, área, persona…</t>
        </is>
      </c>
    </row>
    <row r="91">
      <c r="A91" t="inlineStr">
        <is>
          <t>RES_Sesiones</t>
        </is>
      </c>
      <c r="B91" t="inlineStr">
        <is>
          <t>Evento</t>
        </is>
      </c>
      <c r="C91" s="10" t="inlineStr">
        <is>
          <t>ENTRADA, SALIDA, EXPIRÓ</t>
        </is>
      </c>
    </row>
    <row r="92">
      <c r="A92" t="inlineStr">
        <is>
          <t>RES_Avisos</t>
        </is>
      </c>
      <c r="B92" t="inlineStr">
        <is>
          <t>Visto</t>
        </is>
      </c>
      <c r="C92" s="10" t="inlineStr">
        <is>
          <t>SI / NO</t>
        </is>
      </c>
    </row>
    <row r="93">
      <c r="A93" t="inlineStr">
        <is>
          <t>IMP_Recolecciones</t>
        </is>
      </c>
      <c r="B93" t="inlineStr">
        <is>
          <t>Estado</t>
        </is>
      </c>
      <c r="C93" s="10" t="inlineStr">
        <is>
          <t>POR ENTREGAR / ENTREGADO / NO ENTREGADO</t>
        </is>
      </c>
    </row>
  </sheetData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  <hyperlink xmlns:r="http://schemas.openxmlformats.org/officeDocument/2006/relationships" ref="A28" r:id="rId7"/>
    <hyperlink xmlns:r="http://schemas.openxmlformats.org/officeDocument/2006/relationships" ref="A29" r:id="rId8"/>
    <hyperlink xmlns:r="http://schemas.openxmlformats.org/officeDocument/2006/relationships" ref="A30" r:id="rId9"/>
    <hyperlink xmlns:r="http://schemas.openxmlformats.org/officeDocument/2006/relationships" ref="A31" r:id="rId10"/>
    <hyperlink xmlns:r="http://schemas.openxmlformats.org/officeDocument/2006/relationships" ref="A32" r:id="rId11"/>
    <hyperlink xmlns:r="http://schemas.openxmlformats.org/officeDocument/2006/relationships" ref="A33" r:id="rId12"/>
    <hyperlink xmlns:r="http://schemas.openxmlformats.org/officeDocument/2006/relationships" ref="A34" r:id="rId13"/>
    <hyperlink xmlns:r="http://schemas.openxmlformats.org/officeDocument/2006/relationships" ref="A35" r:id="rId14"/>
    <hyperlink xmlns:r="http://schemas.openxmlformats.org/officeDocument/2006/relationships" ref="A36" r:id="rId15"/>
    <hyperlink xmlns:r="http://schemas.openxmlformats.org/officeDocument/2006/relationships" ref="A37" r:id="rId16"/>
    <hyperlink xmlns:r="http://schemas.openxmlformats.org/officeDocument/2006/relationships" ref="A38" r:id="rId17"/>
    <hyperlink xmlns:r="http://schemas.openxmlformats.org/officeDocument/2006/relationships" ref="A39" r:id="rId18"/>
    <hyperlink xmlns:r="http://schemas.openxmlformats.org/officeDocument/2006/relationships" ref="A40" r:id="rId19"/>
    <hyperlink xmlns:r="http://schemas.openxmlformats.org/officeDocument/2006/relationships" ref="A41" r:id="rId20"/>
    <hyperlink xmlns:r="http://schemas.openxmlformats.org/officeDocument/2006/relationships" ref="A42" r:id="rId21"/>
    <hyperlink xmlns:r="http://schemas.openxmlformats.org/officeDocument/2006/relationships" ref="A4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3D6"/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2" customWidth="1" min="3" max="3"/>
    <col width="40" customWidth="1" min="4" max="4"/>
    <col width="16" customWidth="1" min="5" max="5"/>
    <col width="16" customWidth="1" min="6" max="6"/>
    <col width="8" customWidth="1" min="7" max="7"/>
    <col width="28" customWidth="1" min="8" max="8"/>
    <col width="30" customWidth="1" min="9" max="9"/>
  </cols>
  <sheetData>
    <row r="1" ht="36" customHeight="1">
      <c r="A1" s="11" t="inlineStr">
        <is>
          <t>CAT_Estatus  —  CATÁLOGO · La app LEE esta hoja · Solo administradores la editan.  Cada estatus, su color y lo que significa. Si cambias un color aquí, cambia en la app.</t>
        </is>
      </c>
    </row>
    <row r="2" ht="30" customHeight="1">
      <c r="A2" s="12" t="inlineStr">
        <is>
          <t>Clave</t>
        </is>
      </c>
      <c r="B2" s="12" t="inlineStr">
        <is>
          <t>Nombre en pantalla</t>
        </is>
      </c>
      <c r="C2" s="12" t="inlineStr">
        <is>
          <t>Significado</t>
        </is>
      </c>
      <c r="D2" s="12" t="inlineStr">
        <is>
          <t>Quién lo provoca</t>
        </is>
      </c>
      <c r="E2" s="12" t="inlineStr">
        <is>
          <t>Color texto (hex)</t>
        </is>
      </c>
      <c r="F2" s="12" t="inlineStr">
        <is>
          <t>Color fondo (hex)</t>
        </is>
      </c>
      <c r="G2" s="12" t="inlineStr">
        <is>
          <t>Orden</t>
        </is>
      </c>
      <c r="H2" s="12" t="inlineStr">
        <is>
          <t>Muestra</t>
        </is>
      </c>
      <c r="I2" s="12" t="inlineStr">
        <is>
          <t>Estado en app de gestores</t>
        </is>
      </c>
    </row>
    <row r="3">
      <c r="A3" s="13" t="inlineStr">
        <is>
          <t>NUEVO</t>
        </is>
      </c>
      <c r="B3" s="14" t="inlineStr">
        <is>
          <t>Nuevo traspaso</t>
        </is>
      </c>
      <c r="C3" s="14" t="inlineStr">
        <is>
          <t>Creado y etiquetado. Espera a que pase gestoría.</t>
        </is>
      </c>
      <c r="D3" s="14" t="inlineStr">
        <is>
          <t>Origen, al crearlo y escanear credencial</t>
        </is>
      </c>
      <c r="E3" s="14" t="inlineStr">
        <is>
          <t>1F63D6</t>
        </is>
      </c>
      <c r="F3" s="14" t="inlineStr">
        <is>
          <t>E2ECFF</t>
        </is>
      </c>
      <c r="G3" s="14" t="n">
        <v>1</v>
      </c>
      <c r="H3" s="15" t="inlineStr">
        <is>
          <t>Nuevo traspaso</t>
        </is>
      </c>
      <c r="I3" s="14" t="inlineStr"/>
    </row>
    <row r="4">
      <c r="A4" s="16" t="inlineStr">
        <is>
          <t>RECOLECTADO</t>
        </is>
      </c>
      <c r="B4" s="14" t="inlineStr">
        <is>
          <t>Recolectado por gestoría</t>
        </is>
      </c>
      <c r="C4" s="14" t="inlineStr">
        <is>
          <t>Va en tránsito con un gestor.</t>
        </is>
      </c>
      <c r="D4" s="14" t="inlineStr">
        <is>
          <t>Gestor con su celular o la sucursal escaneando la credencial del gestor</t>
        </is>
      </c>
      <c r="E4" s="14" t="inlineStr">
        <is>
          <t>9A6400</t>
        </is>
      </c>
      <c r="F4" s="14" t="inlineStr">
        <is>
          <t>FFF0CC</t>
        </is>
      </c>
      <c r="G4" s="14" t="n">
        <v>2</v>
      </c>
      <c r="H4" s="17" t="inlineStr">
        <is>
          <t>Recolectado por gestoría</t>
        </is>
      </c>
      <c r="I4" s="14" t="inlineStr">
        <is>
          <t>POR ENTREGAR</t>
        </is>
      </c>
    </row>
    <row r="5">
      <c r="A5" s="18" t="inlineStr">
        <is>
          <t>EN_LOGISTICA</t>
        </is>
      </c>
      <c r="B5" s="14" t="inlineStr">
        <is>
          <t>En Logística</t>
        </is>
      </c>
      <c r="C5" s="14" t="inlineStr">
        <is>
          <t>Llegó a Logística (Oficinas): por enviar a Morelia o por distribuir.</t>
        </is>
      </c>
      <c r="D5" s="14" t="inlineStr">
        <is>
          <t>Logística al escanearlo</t>
        </is>
      </c>
      <c r="E5" s="14" t="inlineStr">
        <is>
          <t>38559E</t>
        </is>
      </c>
      <c r="F5" s="14" t="inlineStr">
        <is>
          <t>E5EBF7</t>
        </is>
      </c>
      <c r="G5" s="14" t="n">
        <v>3</v>
      </c>
      <c r="H5" s="19" t="inlineStr">
        <is>
          <t>En Logística</t>
        </is>
      </c>
      <c r="I5" s="14" t="inlineStr"/>
    </row>
    <row r="6">
      <c r="A6" s="20" t="inlineStr">
        <is>
          <t>PAQUETERIA</t>
        </is>
      </c>
      <c r="B6" s="14" t="inlineStr">
        <is>
          <t>Enviado por paquetería</t>
        </is>
      </c>
      <c r="C6" s="14" t="inlineStr">
        <is>
          <t>Va o viene de Morelia con número de guía.</t>
        </is>
      </c>
      <c r="D6" s="14" t="inlineStr">
        <is>
          <t>Logística (o Morelia) al capturar la guía</t>
        </is>
      </c>
      <c r="E6" s="14" t="inlineStr">
        <is>
          <t>0B6C80</t>
        </is>
      </c>
      <c r="F6" s="14" t="inlineStr">
        <is>
          <t>DAF2F7</t>
        </is>
      </c>
      <c r="G6" s="14" t="n">
        <v>4</v>
      </c>
      <c r="H6" s="21" t="inlineStr">
        <is>
          <t>Enviado por paquetería</t>
        </is>
      </c>
      <c r="I6" s="14" t="inlineStr"/>
    </row>
    <row r="7">
      <c r="A7" s="22" t="inlineStr">
        <is>
          <t>ENTREGADO</t>
        </is>
      </c>
      <c r="B7" s="14" t="inlineStr">
        <is>
          <t>Entregado</t>
        </is>
      </c>
      <c r="C7" s="14" t="inlineStr">
        <is>
          <t>El destino lo escaneó y llegaron todos los bultos.</t>
        </is>
      </c>
      <c r="D7" s="14" t="inlineStr">
        <is>
          <t>Solo el destino al escanearlo</t>
        </is>
      </c>
      <c r="E7" s="14" t="inlineStr">
        <is>
          <t>1B7F38</t>
        </is>
      </c>
      <c r="F7" s="14" t="inlineStr">
        <is>
          <t>DFF3E5</t>
        </is>
      </c>
      <c r="G7" s="14" t="n">
        <v>5</v>
      </c>
      <c r="H7" s="23" t="inlineStr">
        <is>
          <t>Entregado</t>
        </is>
      </c>
      <c r="I7" s="14" t="inlineStr">
        <is>
          <t>ENTREGADO (gestor) + escaneo del destino</t>
        </is>
      </c>
    </row>
    <row r="8">
      <c r="A8" s="24" t="inlineStr">
        <is>
          <t>INCIDENCIA</t>
        </is>
      </c>
      <c r="B8" s="14" t="inlineStr">
        <is>
          <t>Recibido con incidencia</t>
        </is>
      </c>
      <c r="C8" s="14" t="inlineStr">
        <is>
          <t>Llegó, pero faltan bultos o llegó dañado.</t>
        </is>
      </c>
      <c r="D8" s="14" t="inlineStr">
        <is>
          <t>El destino al recibir incompleto</t>
        </is>
      </c>
      <c r="E8" s="14" t="inlineStr">
        <is>
          <t>C4440B</t>
        </is>
      </c>
      <c r="F8" s="14" t="inlineStr">
        <is>
          <t>FFE8DA</t>
        </is>
      </c>
      <c r="G8" s="14" t="n">
        <v>6</v>
      </c>
      <c r="H8" s="25" t="inlineStr">
        <is>
          <t>Recibido con incidencia</t>
        </is>
      </c>
      <c r="I8" s="14" t="inlineStr">
        <is>
          <t>NO ENTREGADO (gestor) → revisar</t>
        </is>
      </c>
    </row>
    <row r="9">
      <c r="A9" s="26" t="inlineStr">
        <is>
          <t>UBICADO</t>
        </is>
      </c>
      <c r="B9" s="14" t="inlineStr">
        <is>
          <t>El traspaso está en…</t>
        </is>
      </c>
      <c r="C9" s="14" t="inlineStr">
        <is>
          <t>Se escaneó en un lugar que no es su destino. La columna Ubicación dice dónde está.</t>
        </is>
      </c>
      <c r="D9" s="14" t="inlineStr">
        <is>
          <t>Cualquier área que lo escanee por error</t>
        </is>
      </c>
      <c r="E9" s="14" t="inlineStr">
        <is>
          <t>7036B8</t>
        </is>
      </c>
      <c r="F9" s="14" t="inlineStr">
        <is>
          <t>EFE5FB</t>
        </is>
      </c>
      <c r="G9" s="14" t="n">
        <v>7</v>
      </c>
      <c r="H9" s="27" t="inlineStr">
        <is>
          <t>El traspaso está en…</t>
        </is>
      </c>
      <c r="I9" s="14" t="inlineStr"/>
    </row>
    <row r="10">
      <c r="A10" s="28" t="inlineStr">
        <is>
          <t>EXTRAVIADO</t>
        </is>
      </c>
      <c r="B10" s="14" t="inlineStr">
        <is>
          <t>Extraviado</t>
        </is>
      </c>
      <c r="C10" s="14" t="inlineStr">
        <is>
          <t>No aparece. Alerta automática por tiempo o marcado por un administrador.</t>
        </is>
      </c>
      <c r="D10" s="14" t="inlineStr">
        <is>
          <t>Administrador o alerta automática</t>
        </is>
      </c>
      <c r="E10" s="14" t="inlineStr">
        <is>
          <t>C8232D</t>
        </is>
      </c>
      <c r="F10" s="14" t="inlineStr">
        <is>
          <t>FDE6E7</t>
        </is>
      </c>
      <c r="G10" s="14" t="n">
        <v>8</v>
      </c>
      <c r="H10" s="29" t="inlineStr">
        <is>
          <t>Extraviado</t>
        </is>
      </c>
      <c r="I10" s="14" t="inlineStr"/>
    </row>
    <row r="11">
      <c r="A11" s="30" t="inlineStr">
        <is>
          <t>ELIMINACION_SOLICITADA</t>
        </is>
      </c>
      <c r="B11" s="14" t="inlineStr">
        <is>
          <t>Eliminación solicitada</t>
        </is>
      </c>
      <c r="C11" s="14" t="inlineStr">
        <is>
          <t>Congelado: nadie lo puede mover hasta que responda un administrador.</t>
        </is>
      </c>
      <c r="D11" s="14" t="inlineStr">
        <is>
          <t>Origen al solicitar eliminar</t>
        </is>
      </c>
      <c r="E11" s="14" t="inlineStr">
        <is>
          <t>4E5B67</t>
        </is>
      </c>
      <c r="F11" s="14" t="inlineStr">
        <is>
          <t>E8ECF0</t>
        </is>
      </c>
      <c r="G11" s="14" t="n">
        <v>9</v>
      </c>
      <c r="H11" s="31" t="inlineStr">
        <is>
          <t>Eliminación solicitada</t>
        </is>
      </c>
      <c r="I11" s="14" t="inlineStr"/>
    </row>
    <row r="12">
      <c r="A12" s="32" t="inlineStr">
        <is>
          <t>ELIMINADO</t>
        </is>
      </c>
      <c r="B12" s="14" t="inlineStr">
        <is>
          <t>Eliminado</t>
        </is>
      </c>
      <c r="C12" s="14" t="inlineStr">
        <is>
          <t>Lo eliminó un administrador. Ya no aparece en la app.</t>
        </is>
      </c>
      <c r="D12" s="14" t="inlineStr">
        <is>
          <t>Solo administradores</t>
        </is>
      </c>
      <c r="E12" s="14" t="inlineStr">
        <is>
          <t>FFFFFF</t>
        </is>
      </c>
      <c r="F12" s="14" t="inlineStr">
        <is>
          <t>4E5B67</t>
        </is>
      </c>
      <c r="G12" s="14" t="n">
        <v>10</v>
      </c>
      <c r="H12" s="33" t="inlineStr">
        <is>
          <t>Eliminado</t>
        </is>
      </c>
      <c r="I12" s="14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3D6"/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6" customWidth="1" min="4" max="4"/>
    <col width="8" customWidth="1" min="5" max="5"/>
    <col width="50" customWidth="1" min="6" max="6"/>
  </cols>
  <sheetData>
    <row r="1" ht="36" customHeight="1">
      <c r="A1" s="11" t="inlineStr">
        <is>
          <t>CAT_Sucursales  —  CATÁLOGO · La app LEE esta hoja · Solo administradores la editan.  Lugares físicos. Dentro de cada uno están sus áreas (ver CAT_Areas).</t>
        </is>
      </c>
    </row>
    <row r="2" ht="30" customHeight="1">
      <c r="A2" s="12" t="inlineStr">
        <is>
          <t>ID</t>
        </is>
      </c>
      <c r="B2" s="12" t="inlineStr">
        <is>
          <t>Nombre</t>
        </is>
      </c>
      <c r="C2" s="12" t="inlineStr">
        <is>
          <t>Tipo</t>
        </is>
      </c>
      <c r="D2" s="12" t="inlineStr">
        <is>
          <t>Cómo se envía</t>
        </is>
      </c>
      <c r="E2" s="12" t="inlineStr">
        <is>
          <t>Activa</t>
        </is>
      </c>
      <c r="F2" s="12" t="inlineStr">
        <is>
          <t>Notas</t>
        </is>
      </c>
    </row>
    <row r="3">
      <c r="A3" s="14" t="inlineStr">
        <is>
          <t>OFI</t>
        </is>
      </c>
      <c r="B3" s="14" t="inlineStr">
        <is>
          <t>Oficinas</t>
        </is>
      </c>
      <c r="C3" s="14" t="inlineStr">
        <is>
          <t>Oficinas</t>
        </is>
      </c>
      <c r="D3" s="14" t="inlineStr">
        <is>
          <t>Interna (entrega a mano)</t>
        </is>
      </c>
      <c r="E3" s="14" t="inlineStr">
        <is>
          <t>SI</t>
        </is>
      </c>
      <c r="F3" s="14" t="inlineStr">
        <is>
          <t>Centro de distribución: Logística.</t>
        </is>
      </c>
    </row>
    <row r="4">
      <c r="A4" s="14" t="inlineStr">
        <is>
          <t>NR</t>
        </is>
      </c>
      <c r="B4" s="14" t="inlineStr">
        <is>
          <t>Nueva Roma</t>
        </is>
      </c>
      <c r="C4" s="14" t="inlineStr">
        <is>
          <t>Sucursal</t>
        </is>
      </c>
      <c r="D4" s="14" t="inlineStr">
        <is>
          <t>Gestoría</t>
        </is>
      </c>
      <c r="E4" s="14" t="inlineStr">
        <is>
          <t>SI</t>
        </is>
      </c>
      <c r="F4" s="14" t="inlineStr"/>
    </row>
    <row r="5">
      <c r="A5" s="14" t="inlineStr">
        <is>
          <t>V</t>
        </is>
      </c>
      <c r="B5" s="14" t="inlineStr">
        <is>
          <t>Vertiz</t>
        </is>
      </c>
      <c r="C5" s="14" t="inlineStr">
        <is>
          <t>Sucursal</t>
        </is>
      </c>
      <c r="D5" s="14" t="inlineStr">
        <is>
          <t>Gestoría</t>
        </is>
      </c>
      <c r="E5" s="14" t="inlineStr">
        <is>
          <t>SI</t>
        </is>
      </c>
      <c r="F5" s="14" t="inlineStr"/>
    </row>
    <row r="6">
      <c r="A6" s="14" t="inlineStr">
        <is>
          <t>D</t>
        </is>
      </c>
      <c r="B6" s="14" t="inlineStr">
        <is>
          <t>Doctores</t>
        </is>
      </c>
      <c r="C6" s="14" t="inlineStr">
        <is>
          <t>Sucursal</t>
        </is>
      </c>
      <c r="D6" s="14" t="inlineStr">
        <is>
          <t>Gestoría</t>
        </is>
      </c>
      <c r="E6" s="14" t="inlineStr">
        <is>
          <t>SI</t>
        </is>
      </c>
      <c r="F6" s="14" t="inlineStr"/>
    </row>
    <row r="7">
      <c r="A7" s="14" t="inlineStr">
        <is>
          <t>C</t>
        </is>
      </c>
      <c r="B7" s="14" t="inlineStr">
        <is>
          <t>Coapa</t>
        </is>
      </c>
      <c r="C7" s="14" t="inlineStr">
        <is>
          <t>Sucursal</t>
        </is>
      </c>
      <c r="D7" s="14" t="inlineStr">
        <is>
          <t>Gestoría</t>
        </is>
      </c>
      <c r="E7" s="14" t="inlineStr">
        <is>
          <t>SI</t>
        </is>
      </c>
      <c r="F7" s="14" t="inlineStr"/>
    </row>
    <row r="8">
      <c r="A8" s="14" t="inlineStr">
        <is>
          <t>E</t>
        </is>
      </c>
      <c r="B8" s="14" t="inlineStr">
        <is>
          <t>Ecatepec</t>
        </is>
      </c>
      <c r="C8" s="14" t="inlineStr">
        <is>
          <t>Sucursal</t>
        </is>
      </c>
      <c r="D8" s="14" t="inlineStr">
        <is>
          <t>Gestoría</t>
        </is>
      </c>
      <c r="E8" s="14" t="inlineStr">
        <is>
          <t>SI</t>
        </is>
      </c>
      <c r="F8" s="14" t="inlineStr"/>
    </row>
    <row r="9">
      <c r="A9" s="14" t="inlineStr">
        <is>
          <t>M</t>
        </is>
      </c>
      <c r="B9" s="14" t="inlineStr">
        <is>
          <t>Morelia</t>
        </is>
      </c>
      <c r="C9" s="14" t="inlineStr">
        <is>
          <t>Foránea</t>
        </is>
      </c>
      <c r="D9" s="14" t="inlineStr">
        <is>
          <t>Paquetería vía Logística</t>
        </is>
      </c>
      <c r="E9" s="14" t="inlineStr">
        <is>
          <t>SI</t>
        </is>
      </c>
      <c r="F9" s="14" t="inlineStr">
        <is>
          <t>Todo lo que va o viene de Morelia lleva guía.</t>
        </is>
      </c>
    </row>
    <row r="10">
      <c r="A10" s="14" t="inlineStr">
        <is>
          <t>BOT</t>
        </is>
      </c>
      <c r="B10" s="14" t="inlineStr">
        <is>
          <t>Botican</t>
        </is>
      </c>
      <c r="C10" s="14" t="inlineStr">
        <is>
          <t>Área independiente</t>
        </is>
      </c>
      <c r="D10" s="14" t="inlineStr">
        <is>
          <t>Gestoría</t>
        </is>
      </c>
      <c r="E10" s="14" t="inlineStr">
        <is>
          <t>SI</t>
        </is>
      </c>
      <c r="F10" s="14" t="inlineStr">
        <is>
          <t>Botican es un área propia, no pertenece a ninguna sucursal.</t>
        </is>
      </c>
    </row>
  </sheetData>
  <mergeCells count="1">
    <mergeCell ref="A1:F1"/>
  </mergeCells>
  <dataValidations count="1">
    <dataValidation sqref="E3:E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3D6"/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34" customWidth="1" min="4" max="4"/>
    <col width="8" customWidth="1" min="5" max="5"/>
    <col width="60" customWidth="1" min="6" max="6"/>
  </cols>
  <sheetData>
    <row r="1" ht="36" customHeight="1">
      <c r="A1" s="11" t="inlineStr">
        <is>
          <t>CAT_Areas  —  CATÁLOGO · La app LEE esta hoja · Solo administradores la editan.  Cada área o subárea que envía o recibe traspasos. Su prefijo es el inicio del folio (ej. NR-0001).</t>
        </is>
      </c>
    </row>
    <row r="2" ht="30" customHeight="1">
      <c r="A2" s="12" t="inlineStr">
        <is>
          <t>Prefijo de folio</t>
        </is>
      </c>
      <c r="B2" s="12" t="inlineStr">
        <is>
          <t>Nombre del área</t>
        </is>
      </c>
      <c r="C2" s="12" t="inlineStr">
        <is>
          <t>Sucursal (ID)</t>
        </is>
      </c>
      <c r="D2" s="12" t="inlineStr">
        <is>
          <t>Correo de la cuenta</t>
        </is>
      </c>
      <c r="E2" s="12" t="inlineStr">
        <is>
          <t>Activa</t>
        </is>
      </c>
      <c r="F2" s="12" t="inlineStr">
        <is>
          <t>Notas</t>
        </is>
      </c>
    </row>
    <row r="3">
      <c r="A3" s="14" t="inlineStr">
        <is>
          <t>DIR</t>
        </is>
      </c>
      <c r="B3" s="14" t="inlineStr">
        <is>
          <t>Dirección</t>
        </is>
      </c>
      <c r="C3" s="14" t="inlineStr">
        <is>
          <t>OFI</t>
        </is>
      </c>
      <c r="D3" s="14" t="inlineStr">
        <is>
          <t>por definir</t>
        </is>
      </c>
      <c r="E3" s="14" t="inlineStr">
        <is>
          <t>SI</t>
        </is>
      </c>
      <c r="F3" s="14" t="inlineStr"/>
    </row>
    <row r="4">
      <c r="A4" s="14" t="inlineStr">
        <is>
          <t>LOG</t>
        </is>
      </c>
      <c r="B4" s="14" t="inlineStr">
        <is>
          <t>Logística</t>
        </is>
      </c>
      <c r="C4" s="14" t="inlineStr">
        <is>
          <t>OFI</t>
        </is>
      </c>
      <c r="D4" s="14" t="inlineStr">
        <is>
          <t>por definir</t>
        </is>
      </c>
      <c r="E4" s="14" t="inlineStr">
        <is>
          <t>SI</t>
        </is>
      </c>
      <c r="F4" s="14" t="inlineStr">
        <is>
          <t>Recibe y envía todo lo de Morelia y distribuye en Oficinas.</t>
        </is>
      </c>
    </row>
    <row r="5">
      <c r="A5" s="14" t="inlineStr">
        <is>
          <t>COM</t>
        </is>
      </c>
      <c r="B5" s="14" t="inlineStr">
        <is>
          <t>Compras</t>
        </is>
      </c>
      <c r="C5" s="14" t="inlineStr">
        <is>
          <t>OFI</t>
        </is>
      </c>
      <c r="D5" s="14" t="inlineStr">
        <is>
          <t>por definir</t>
        </is>
      </c>
      <c r="E5" s="14" t="inlineStr">
        <is>
          <t>SI</t>
        </is>
      </c>
      <c r="F5" s="14" t="inlineStr"/>
    </row>
    <row r="6">
      <c r="A6" s="14" t="inlineStr">
        <is>
          <t>MM</t>
        </is>
      </c>
      <c r="B6" s="14" t="inlineStr">
        <is>
          <t>Medicina Magistral</t>
        </is>
      </c>
      <c r="C6" s="14" t="inlineStr">
        <is>
          <t>OFI</t>
        </is>
      </c>
      <c r="D6" s="14" t="inlineStr">
        <is>
          <t>por definir</t>
        </is>
      </c>
      <c r="E6" s="14" t="inlineStr">
        <is>
          <t>SI</t>
        </is>
      </c>
      <c r="F6" s="14" t="inlineStr"/>
    </row>
    <row r="7">
      <c r="A7" s="14" t="inlineStr">
        <is>
          <t>EPV</t>
        </is>
      </c>
      <c r="B7" s="14" t="inlineStr">
        <is>
          <t>Encargada de PV</t>
        </is>
      </c>
      <c r="C7" s="14" t="inlineStr">
        <is>
          <t>OFI</t>
        </is>
      </c>
      <c r="D7" s="14" t="inlineStr">
        <is>
          <t>por definir</t>
        </is>
      </c>
      <c r="E7" s="14" t="inlineStr">
        <is>
          <t>SI</t>
        </is>
      </c>
      <c r="F7" s="14" t="inlineStr"/>
    </row>
    <row r="8">
      <c r="A8" s="14" t="inlineStr">
        <is>
          <t>GG</t>
        </is>
      </c>
      <c r="B8" s="14" t="inlineStr">
        <is>
          <t>Gerente General</t>
        </is>
      </c>
      <c r="C8" s="14" t="inlineStr">
        <is>
          <t>OFI</t>
        </is>
      </c>
      <c r="D8" s="14" t="inlineStr">
        <is>
          <t>por definir</t>
        </is>
      </c>
      <c r="E8" s="14" t="inlineStr">
        <is>
          <t>SI</t>
        </is>
      </c>
      <c r="F8" s="14" t="inlineStr"/>
    </row>
    <row r="9">
      <c r="A9" s="14" t="inlineStr">
        <is>
          <t>CONT</t>
        </is>
      </c>
      <c r="B9" s="14" t="inlineStr">
        <is>
          <t>Contabilidad</t>
        </is>
      </c>
      <c r="C9" s="14" t="inlineStr">
        <is>
          <t>OFI</t>
        </is>
      </c>
      <c r="D9" s="14" t="inlineStr">
        <is>
          <t>por definir</t>
        </is>
      </c>
      <c r="E9" s="14" t="inlineStr">
        <is>
          <t>SI</t>
        </is>
      </c>
      <c r="F9" s="14" t="inlineStr"/>
    </row>
    <row r="10">
      <c r="A10" s="14" t="inlineStr">
        <is>
          <t>FAC</t>
        </is>
      </c>
      <c r="B10" s="14" t="inlineStr">
        <is>
          <t>Facturación</t>
        </is>
      </c>
      <c r="C10" s="14" t="inlineStr">
        <is>
          <t>OFI</t>
        </is>
      </c>
      <c r="D10" s="14" t="inlineStr">
        <is>
          <t>por definir</t>
        </is>
      </c>
      <c r="E10" s="14" t="inlineStr">
        <is>
          <t>SI</t>
        </is>
      </c>
      <c r="F10" s="14" t="inlineStr"/>
    </row>
    <row r="11">
      <c r="A11" s="14" t="inlineStr">
        <is>
          <t>RH</t>
        </is>
      </c>
      <c r="B11" s="14" t="inlineStr">
        <is>
          <t>Recursos Humanos</t>
        </is>
      </c>
      <c r="C11" s="14" t="inlineStr">
        <is>
          <t>OFI</t>
        </is>
      </c>
      <c r="D11" s="14" t="inlineStr">
        <is>
          <t>por definir</t>
        </is>
      </c>
      <c r="E11" s="14" t="inlineStr">
        <is>
          <t>SI</t>
        </is>
      </c>
      <c r="F11" s="14" t="inlineStr">
        <is>
          <t>Oficinas tiene más áreas: agrégalas abajo con su propio prefijo.</t>
        </is>
      </c>
    </row>
    <row r="12">
      <c r="A12" s="14" t="inlineStr">
        <is>
          <t>NR</t>
        </is>
      </c>
      <c r="B12" s="14" t="inlineStr">
        <is>
          <t>PV</t>
        </is>
      </c>
      <c r="C12" s="14" t="inlineStr">
        <is>
          <t>NR</t>
        </is>
      </c>
      <c r="D12" s="14" t="inlineStr">
        <is>
          <t>cuenta de Nueva Roma</t>
        </is>
      </c>
      <c r="E12" s="14" t="inlineStr">
        <is>
          <t>SI</t>
        </is>
      </c>
      <c r="F12" s="14" t="inlineStr">
        <is>
          <t>Misma cuenta que Rebotica. Salidas por área; entradas las recibe cualquiera de la sucursal.</t>
        </is>
      </c>
    </row>
    <row r="13">
      <c r="A13" s="14" t="inlineStr">
        <is>
          <t>NR-RB</t>
        </is>
      </c>
      <c r="B13" s="14" t="inlineStr">
        <is>
          <t>Rebotica</t>
        </is>
      </c>
      <c r="C13" s="14" t="inlineStr">
        <is>
          <t>NR</t>
        </is>
      </c>
      <c r="D13" s="14" t="inlineStr">
        <is>
          <t>cuenta de Nueva Roma</t>
        </is>
      </c>
      <c r="E13" s="14" t="inlineStr">
        <is>
          <t>SI</t>
        </is>
      </c>
      <c r="F13" s="14" t="inlineStr">
        <is>
          <t>Computadora fija a Rebotica.</t>
        </is>
      </c>
    </row>
    <row r="14">
      <c r="A14" s="14" t="inlineStr">
        <is>
          <t>V</t>
        </is>
      </c>
      <c r="B14" s="14" t="inlineStr">
        <is>
          <t>PV</t>
        </is>
      </c>
      <c r="C14" s="14" t="inlineStr">
        <is>
          <t>V</t>
        </is>
      </c>
      <c r="D14" s="14" t="inlineStr">
        <is>
          <t>cuenta de Vertiz</t>
        </is>
      </c>
      <c r="E14" s="14" t="inlineStr">
        <is>
          <t>SI</t>
        </is>
      </c>
      <c r="F14" s="14" t="inlineStr"/>
    </row>
    <row r="15">
      <c r="A15" s="14" t="inlineStr">
        <is>
          <t>V-RB</t>
        </is>
      </c>
      <c r="B15" s="14" t="inlineStr">
        <is>
          <t>Rebotica</t>
        </is>
      </c>
      <c r="C15" s="14" t="inlineStr">
        <is>
          <t>V</t>
        </is>
      </c>
      <c r="D15" s="14" t="inlineStr">
        <is>
          <t>cuenta de Vertiz</t>
        </is>
      </c>
      <c r="E15" s="14" t="inlineStr">
        <is>
          <t>SI</t>
        </is>
      </c>
      <c r="F15" s="14" t="inlineStr"/>
    </row>
    <row r="16">
      <c r="A16" s="14" t="inlineStr">
        <is>
          <t>D</t>
        </is>
      </c>
      <c r="B16" s="14" t="inlineStr">
        <is>
          <t>PV</t>
        </is>
      </c>
      <c r="C16" s="14" t="inlineStr">
        <is>
          <t>D</t>
        </is>
      </c>
      <c r="D16" s="14" t="inlineStr">
        <is>
          <t>cuenta de Doctores</t>
        </is>
      </c>
      <c r="E16" s="14" t="inlineStr">
        <is>
          <t>SI</t>
        </is>
      </c>
      <c r="F16" s="14" t="inlineStr"/>
    </row>
    <row r="17">
      <c r="A17" s="14" t="inlineStr">
        <is>
          <t>D-RB</t>
        </is>
      </c>
      <c r="B17" s="14" t="inlineStr">
        <is>
          <t>Rebotica</t>
        </is>
      </c>
      <c r="C17" s="14" t="inlineStr">
        <is>
          <t>D</t>
        </is>
      </c>
      <c r="D17" s="14" t="inlineStr">
        <is>
          <t>cuenta de Doctores</t>
        </is>
      </c>
      <c r="E17" s="14" t="inlineStr">
        <is>
          <t>SI</t>
        </is>
      </c>
      <c r="F17" s="14" t="inlineStr"/>
    </row>
    <row r="18">
      <c r="A18" s="14" t="inlineStr">
        <is>
          <t>C</t>
        </is>
      </c>
      <c r="B18" s="14" t="inlineStr">
        <is>
          <t>PV</t>
        </is>
      </c>
      <c r="C18" s="14" t="inlineStr">
        <is>
          <t>C</t>
        </is>
      </c>
      <c r="D18" s="14" t="inlineStr">
        <is>
          <t>cuenta de Coapa</t>
        </is>
      </c>
      <c r="E18" s="14" t="inlineStr">
        <is>
          <t>SI</t>
        </is>
      </c>
      <c r="F18" s="14" t="inlineStr"/>
    </row>
    <row r="19">
      <c r="A19" s="14" t="inlineStr">
        <is>
          <t>C-RB</t>
        </is>
      </c>
      <c r="B19" s="14" t="inlineStr">
        <is>
          <t>Rebotica</t>
        </is>
      </c>
      <c r="C19" s="14" t="inlineStr">
        <is>
          <t>C</t>
        </is>
      </c>
      <c r="D19" s="14" t="inlineStr">
        <is>
          <t>cuenta de Coapa</t>
        </is>
      </c>
      <c r="E19" s="14" t="inlineStr">
        <is>
          <t>SI</t>
        </is>
      </c>
      <c r="F19" s="14" t="inlineStr"/>
    </row>
    <row r="20">
      <c r="A20" s="14" t="inlineStr">
        <is>
          <t>E</t>
        </is>
      </c>
      <c r="B20" s="14" t="inlineStr">
        <is>
          <t>PV</t>
        </is>
      </c>
      <c r="C20" s="14" t="inlineStr">
        <is>
          <t>E</t>
        </is>
      </c>
      <c r="D20" s="14" t="inlineStr">
        <is>
          <t>cuenta de Ecatepec</t>
        </is>
      </c>
      <c r="E20" s="14" t="inlineStr">
        <is>
          <t>SI</t>
        </is>
      </c>
      <c r="F20" s="14" t="inlineStr"/>
    </row>
    <row r="21">
      <c r="A21" s="14" t="inlineStr">
        <is>
          <t>E-RB</t>
        </is>
      </c>
      <c r="B21" s="14" t="inlineStr">
        <is>
          <t>Rebotica</t>
        </is>
      </c>
      <c r="C21" s="14" t="inlineStr">
        <is>
          <t>E</t>
        </is>
      </c>
      <c r="D21" s="14" t="inlineStr">
        <is>
          <t>cuenta de Ecatepec</t>
        </is>
      </c>
      <c r="E21" s="14" t="inlineStr">
        <is>
          <t>SI</t>
        </is>
      </c>
      <c r="F21" s="14" t="inlineStr"/>
    </row>
    <row r="22">
      <c r="A22" s="14" t="inlineStr">
        <is>
          <t>M</t>
        </is>
      </c>
      <c r="B22" s="14" t="inlineStr">
        <is>
          <t>PV</t>
        </is>
      </c>
      <c r="C22" s="14" t="inlineStr">
        <is>
          <t>M</t>
        </is>
      </c>
      <c r="D22" s="14" t="inlineStr">
        <is>
          <t>cuenta de Morelia</t>
        </is>
      </c>
      <c r="E22" s="14" t="inlineStr">
        <is>
          <t>SI</t>
        </is>
      </c>
      <c r="F22" s="14" t="inlineStr"/>
    </row>
    <row r="23">
      <c r="A23" s="14" t="inlineStr">
        <is>
          <t>M-RB</t>
        </is>
      </c>
      <c r="B23" s="14" t="inlineStr">
        <is>
          <t>Rebotica</t>
        </is>
      </c>
      <c r="C23" s="14" t="inlineStr">
        <is>
          <t>M</t>
        </is>
      </c>
      <c r="D23" s="14" t="inlineStr">
        <is>
          <t>cuenta de Morelia</t>
        </is>
      </c>
      <c r="E23" s="14" t="inlineStr">
        <is>
          <t>SI</t>
        </is>
      </c>
      <c r="F23" s="14" t="inlineStr"/>
    </row>
    <row r="24">
      <c r="A24" s="14" t="inlineStr">
        <is>
          <t>BOT</t>
        </is>
      </c>
      <c r="B24" s="14" t="inlineStr">
        <is>
          <t>Botican</t>
        </is>
      </c>
      <c r="C24" s="14" t="inlineStr">
        <is>
          <t>BOT</t>
        </is>
      </c>
      <c r="D24" s="14" t="inlineStr">
        <is>
          <t>por definir (producción Botican)</t>
        </is>
      </c>
      <c r="E24" s="14" t="inlineStr">
        <is>
          <t>SI</t>
        </is>
      </c>
      <c r="F24" s="14" t="inlineStr">
        <is>
          <t>Área independiente con su propia computadora y correo.</t>
        </is>
      </c>
    </row>
  </sheetData>
  <mergeCells count="1">
    <mergeCell ref="A1:F1"/>
  </mergeCells>
  <dataValidations count="2">
    <dataValidation sqref="E3:E500" showDropDown="0" showInputMessage="0" showErrorMessage="0" allowBlank="1" type="list">
      <formula1>"SI,NO"</formula1>
    </dataValidation>
    <dataValidation sqref="C3:C200" showDropDown="0" showInputMessage="0" showErrorMessage="0" allowBlank="1" type="list">
      <formula1>=CAT_Sucursales!$A$3:$A$50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63D6"/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0" customWidth="1" min="4" max="4"/>
    <col width="8" customWidth="1" min="5" max="5"/>
  </cols>
  <sheetData>
    <row r="1" ht="36" customHeight="1">
      <c r="A1" s="11" t="inlineStr">
        <is>
          <t>CAT_Equipos  —  CATÁLOGO · La app LEE esta hoja · Solo administradores la editan.  Cada computadora queda fija a un área para las SALIDAS (crear y entregar a gestor). Las ENTRADAS las puede recibir cualquier computadora de la sucursal; la app indica PARA PV o PARA REBOTICA.</t>
        </is>
      </c>
    </row>
    <row r="2" ht="30" customHeight="1">
      <c r="A2" s="12" t="inlineStr">
        <is>
          <t>ID equipo</t>
        </is>
      </c>
      <c r="B2" s="12" t="inlineStr">
        <is>
          <t>Sucursal</t>
        </is>
      </c>
      <c r="C2" s="12" t="inlineStr">
        <is>
          <t>Área (prefijo)</t>
        </is>
      </c>
      <c r="D2" s="12" t="inlineStr">
        <is>
          <t>Descripción</t>
        </is>
      </c>
      <c r="E2" s="12" t="inlineStr">
        <is>
          <t>Activo</t>
        </is>
      </c>
    </row>
    <row r="3">
      <c r="A3" s="14" t="inlineStr">
        <is>
          <t>NR-PV</t>
        </is>
      </c>
      <c r="B3" s="14" t="inlineStr">
        <is>
          <t>Nueva Roma</t>
        </is>
      </c>
      <c r="C3" s="14" t="inlineStr">
        <is>
          <t>NR</t>
        </is>
      </c>
      <c r="D3" s="14" t="inlineStr">
        <is>
          <t>Computadora de PV</t>
        </is>
      </c>
      <c r="E3" s="14" t="inlineStr">
        <is>
          <t>SI</t>
        </is>
      </c>
    </row>
    <row r="4">
      <c r="A4" s="14" t="inlineStr">
        <is>
          <t>NR-RB</t>
        </is>
      </c>
      <c r="B4" s="14" t="inlineStr">
        <is>
          <t>Nueva Roma</t>
        </is>
      </c>
      <c r="C4" s="14" t="inlineStr">
        <is>
          <t>NR-RB</t>
        </is>
      </c>
      <c r="D4" s="14" t="inlineStr">
        <is>
          <t>Computadora de Rebotica</t>
        </is>
      </c>
      <c r="E4" s="14" t="inlineStr">
        <is>
          <t>SI</t>
        </is>
      </c>
    </row>
    <row r="5">
      <c r="A5" s="14" t="inlineStr">
        <is>
          <t>V-PV</t>
        </is>
      </c>
      <c r="B5" s="14" t="inlineStr">
        <is>
          <t>Vertiz</t>
        </is>
      </c>
      <c r="C5" s="14" t="inlineStr">
        <is>
          <t>V</t>
        </is>
      </c>
      <c r="D5" s="14" t="inlineStr">
        <is>
          <t>Computadora de PV</t>
        </is>
      </c>
      <c r="E5" s="14" t="inlineStr">
        <is>
          <t>SI</t>
        </is>
      </c>
    </row>
    <row r="6">
      <c r="A6" s="14" t="inlineStr">
        <is>
          <t>V-RB</t>
        </is>
      </c>
      <c r="B6" s="14" t="inlineStr">
        <is>
          <t>Vertiz</t>
        </is>
      </c>
      <c r="C6" s="14" t="inlineStr">
        <is>
          <t>V-RB</t>
        </is>
      </c>
      <c r="D6" s="14" t="inlineStr">
        <is>
          <t>Computadora de Rebotica</t>
        </is>
      </c>
      <c r="E6" s="14" t="inlineStr">
        <is>
          <t>SI</t>
        </is>
      </c>
    </row>
    <row r="7">
      <c r="A7" s="14" t="inlineStr">
        <is>
          <t>D-PV</t>
        </is>
      </c>
      <c r="B7" s="14" t="inlineStr">
        <is>
          <t>Doctores</t>
        </is>
      </c>
      <c r="C7" s="14" t="inlineStr">
        <is>
          <t>D</t>
        </is>
      </c>
      <c r="D7" s="14" t="inlineStr">
        <is>
          <t>Computadora de PV</t>
        </is>
      </c>
      <c r="E7" s="14" t="inlineStr">
        <is>
          <t>SI</t>
        </is>
      </c>
    </row>
    <row r="8">
      <c r="A8" s="14" t="inlineStr">
        <is>
          <t>D-RB</t>
        </is>
      </c>
      <c r="B8" s="14" t="inlineStr">
        <is>
          <t>Doctores</t>
        </is>
      </c>
      <c r="C8" s="14" t="inlineStr">
        <is>
          <t>D-RB</t>
        </is>
      </c>
      <c r="D8" s="14" t="inlineStr">
        <is>
          <t>Computadora de Rebotica</t>
        </is>
      </c>
      <c r="E8" s="14" t="inlineStr">
        <is>
          <t>SI</t>
        </is>
      </c>
    </row>
    <row r="9">
      <c r="A9" s="14" t="inlineStr">
        <is>
          <t>C-PV</t>
        </is>
      </c>
      <c r="B9" s="14" t="inlineStr">
        <is>
          <t>Coapa</t>
        </is>
      </c>
      <c r="C9" s="14" t="inlineStr">
        <is>
          <t>C</t>
        </is>
      </c>
      <c r="D9" s="14" t="inlineStr">
        <is>
          <t>Computadora de PV</t>
        </is>
      </c>
      <c r="E9" s="14" t="inlineStr">
        <is>
          <t>SI</t>
        </is>
      </c>
    </row>
    <row r="10">
      <c r="A10" s="14" t="inlineStr">
        <is>
          <t>C-RB</t>
        </is>
      </c>
      <c r="B10" s="14" t="inlineStr">
        <is>
          <t>Coapa</t>
        </is>
      </c>
      <c r="C10" s="14" t="inlineStr">
        <is>
          <t>C-RB</t>
        </is>
      </c>
      <c r="D10" s="14" t="inlineStr">
        <is>
          <t>Computadora de Rebotica</t>
        </is>
      </c>
      <c r="E10" s="14" t="inlineStr">
        <is>
          <t>SI</t>
        </is>
      </c>
    </row>
    <row r="11">
      <c r="A11" s="14" t="inlineStr">
        <is>
          <t>E-PV</t>
        </is>
      </c>
      <c r="B11" s="14" t="inlineStr">
        <is>
          <t>Ecatepec</t>
        </is>
      </c>
      <c r="C11" s="14" t="inlineStr">
        <is>
          <t>E</t>
        </is>
      </c>
      <c r="D11" s="14" t="inlineStr">
        <is>
          <t>Computadora de PV</t>
        </is>
      </c>
      <c r="E11" s="14" t="inlineStr">
        <is>
          <t>SI</t>
        </is>
      </c>
    </row>
    <row r="12">
      <c r="A12" s="14" t="inlineStr">
        <is>
          <t>E-RB</t>
        </is>
      </c>
      <c r="B12" s="14" t="inlineStr">
        <is>
          <t>Ecatepec</t>
        </is>
      </c>
      <c r="C12" s="14" t="inlineStr">
        <is>
          <t>E-RB</t>
        </is>
      </c>
      <c r="D12" s="14" t="inlineStr">
        <is>
          <t>Computadora de Rebotica</t>
        </is>
      </c>
      <c r="E12" s="14" t="inlineStr">
        <is>
          <t>SI</t>
        </is>
      </c>
    </row>
    <row r="13">
      <c r="A13" s="14" t="inlineStr">
        <is>
          <t>M-PV</t>
        </is>
      </c>
      <c r="B13" s="14" t="inlineStr">
        <is>
          <t>Morelia</t>
        </is>
      </c>
      <c r="C13" s="14" t="inlineStr">
        <is>
          <t>M</t>
        </is>
      </c>
      <c r="D13" s="14" t="inlineStr">
        <is>
          <t>Computadora de PV</t>
        </is>
      </c>
      <c r="E13" s="14" t="inlineStr">
        <is>
          <t>SI</t>
        </is>
      </c>
    </row>
    <row r="14">
      <c r="A14" s="14" t="inlineStr">
        <is>
          <t>M-RB</t>
        </is>
      </c>
      <c r="B14" s="14" t="inlineStr">
        <is>
          <t>Morelia</t>
        </is>
      </c>
      <c r="C14" s="14" t="inlineStr">
        <is>
          <t>M-RB</t>
        </is>
      </c>
      <c r="D14" s="14" t="inlineStr">
        <is>
          <t>Computadora de Rebotica</t>
        </is>
      </c>
      <c r="E14" s="14" t="inlineStr">
        <is>
          <t>SI</t>
        </is>
      </c>
    </row>
    <row r="15">
      <c r="A15" s="14" t="inlineStr">
        <is>
          <t>BOT</t>
        </is>
      </c>
      <c r="B15" s="14" t="inlineStr">
        <is>
          <t>Botican</t>
        </is>
      </c>
      <c r="C15" s="14" t="inlineStr">
        <is>
          <t>BOT</t>
        </is>
      </c>
      <c r="D15" s="14" t="inlineStr">
        <is>
          <t>Computadora de Botican</t>
        </is>
      </c>
      <c r="E15" s="14" t="inlineStr">
        <is>
          <t>SI</t>
        </is>
      </c>
    </row>
  </sheetData>
  <mergeCells count="1">
    <mergeCell ref="A1:E1"/>
  </mergeCells>
  <dataValidations count="1">
    <dataValidation sqref="E3:E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63D6"/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4" customWidth="1" min="4" max="4"/>
    <col width="14" customWidth="1" min="5" max="5"/>
    <col width="10" customWidth="1" min="6" max="6"/>
    <col width="14" customWidth="1" min="7" max="7"/>
    <col width="40" customWidth="1" min="8" max="8"/>
  </cols>
  <sheetData>
    <row r="1" ht="36" customHeight="1">
      <c r="A1" s="11" t="inlineStr">
        <is>
          <t>CAT_Personas  —  CATÁLOGO · La app LEE esta hoja · Solo administradores la editan.  Personal que crea traspasos (aprox. 60 credenciales). Quien aún no tiene credencial va con Credencial vacía y Tiene credencial = NO.</t>
        </is>
      </c>
    </row>
    <row r="2" ht="30" customHeight="1">
      <c r="A2" s="12" t="inlineStr">
        <is>
          <t>No. empleado</t>
        </is>
      </c>
      <c r="B2" s="12" t="inlineStr">
        <is>
          <t>Nombre completo</t>
        </is>
      </c>
      <c r="C2" s="12" t="inlineStr">
        <is>
          <t>Código de credencial</t>
        </is>
      </c>
      <c r="D2" s="12" t="inlineStr">
        <is>
          <t>Área (prefijo)</t>
        </is>
      </c>
      <c r="E2" s="12" t="inlineStr">
        <is>
          <t>Tiene credencial</t>
        </is>
      </c>
      <c r="F2" s="12" t="inlineStr">
        <is>
          <t>Activo</t>
        </is>
      </c>
      <c r="G2" s="12" t="inlineStr">
        <is>
          <t>Alta</t>
        </is>
      </c>
      <c r="H2" s="12" t="inlineStr">
        <is>
          <t>Notas</t>
        </is>
      </c>
    </row>
  </sheetData>
  <mergeCells count="1">
    <mergeCell ref="A1:H1"/>
  </mergeCells>
  <dataValidations count="2">
    <dataValidation sqref="E3:E500" showDropDown="0" showInputMessage="0" showErrorMessage="0" allowBlank="1" type="list">
      <formula1>"SI,NO"</formula1>
    </dataValidation>
    <dataValidation sqref="F3:F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63D6"/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0" customWidth="1" min="4" max="4"/>
    <col width="10" customWidth="1" min="5" max="5"/>
  </cols>
  <sheetData>
    <row r="1" ht="36" customHeight="1">
      <c r="A1" s="11" t="inlineStr">
        <is>
          <t>CAT_Gestores  —  CATÁLOGO · La app LEE esta hoja · Solo administradores la editan.  Gestores de traspasos. Su credencial sirve para registrar la salida cuando no traen celular.</t>
        </is>
      </c>
    </row>
    <row r="2" ht="30" customHeight="1">
      <c r="A2" s="12" t="inlineStr">
        <is>
          <t>Código de credencial</t>
        </is>
      </c>
      <c r="B2" s="12" t="inlineStr">
        <is>
          <t>Nombre completo</t>
        </is>
      </c>
      <c r="C2" s="12" t="inlineStr">
        <is>
          <t>Celular</t>
        </is>
      </c>
      <c r="D2" s="12" t="inlineStr">
        <is>
          <t>Vehículo</t>
        </is>
      </c>
      <c r="E2" s="12" t="inlineStr">
        <is>
          <t>Activo</t>
        </is>
      </c>
    </row>
  </sheetData>
  <mergeCells count="1">
    <mergeCell ref="A1:E1"/>
  </mergeCells>
  <dataValidations count="1">
    <dataValidation sqref="E3:E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63D6"/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10" customWidth="1" min="4" max="4"/>
  </cols>
  <sheetData>
    <row r="1" ht="36" customHeight="1">
      <c r="A1" s="11" t="inlineStr">
        <is>
          <t>CAT_Administradores  —  CATÁLOGO · La app LEE esta hoja · Solo administradores la editan.  Cuentas con control total (editar, mover, cambiar estatus, eliminar).</t>
        </is>
      </c>
    </row>
    <row r="2" ht="30" customHeight="1">
      <c r="A2" s="12" t="inlineStr">
        <is>
          <t>Correo</t>
        </is>
      </c>
      <c r="B2" s="12" t="inlineStr">
        <is>
          <t>Nombre</t>
        </is>
      </c>
      <c r="C2" s="12" t="inlineStr">
        <is>
          <t>Rol</t>
        </is>
      </c>
      <c r="D2" s="12" t="inlineStr">
        <is>
          <t>Activo</t>
        </is>
      </c>
    </row>
    <row r="3">
      <c r="A3" s="14" t="inlineStr">
        <is>
          <t>jaraujo@fadermex.com</t>
        </is>
      </c>
      <c r="B3" s="14" t="inlineStr"/>
      <c r="C3" s="14" t="inlineStr">
        <is>
          <t>Dueño</t>
        </is>
      </c>
      <c r="D3" s="14" t="inlineStr">
        <is>
          <t>SI</t>
        </is>
      </c>
    </row>
    <row r="4">
      <c r="A4" s="14" t="inlineStr">
        <is>
          <t>Oramirez@fadermex.com</t>
        </is>
      </c>
      <c r="B4" s="14" t="inlineStr"/>
      <c r="C4" s="14" t="inlineStr">
        <is>
          <t>Administrador</t>
        </is>
      </c>
      <c r="D4" s="14" t="inlineStr">
        <is>
          <t>SI</t>
        </is>
      </c>
    </row>
    <row r="5">
      <c r="A5" s="14" t="inlineStr">
        <is>
          <t>sistemasfed@fadermex.com</t>
        </is>
      </c>
      <c r="B5" s="14" t="inlineStr"/>
      <c r="C5" s="14" t="inlineStr">
        <is>
          <t>Administrador</t>
        </is>
      </c>
      <c r="D5" s="14" t="inlineStr">
        <is>
          <t>SI</t>
        </is>
      </c>
    </row>
  </sheetData>
  <mergeCells count="1">
    <mergeCell ref="A1:D1"/>
  </mergeCells>
  <dataValidations count="1">
    <dataValidation sqref="D3:D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63D6"/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 ht="36" customHeight="1">
      <c r="A1" s="11" t="inlineStr">
        <is>
          <t>CAT_Paqueterias  —  CATÁLOGO · La app LEE esta hoja · Solo administradores la editan.  Paqueterías para envíos a/desde Morelia.</t>
        </is>
      </c>
    </row>
    <row r="2" ht="30" customHeight="1">
      <c r="A2" s="12" t="inlineStr">
        <is>
          <t>Paquetería</t>
        </is>
      </c>
      <c r="B2" s="12" t="inlineStr">
        <is>
          <t>Activa</t>
        </is>
      </c>
    </row>
    <row r="3">
      <c r="A3" s="14" t="inlineStr">
        <is>
          <t>Estafeta</t>
        </is>
      </c>
      <c r="B3" s="14" t="inlineStr">
        <is>
          <t>SI</t>
        </is>
      </c>
    </row>
    <row r="4">
      <c r="A4" s="14" t="inlineStr">
        <is>
          <t>DHL</t>
        </is>
      </c>
      <c r="B4" s="14" t="inlineStr">
        <is>
          <t>SI</t>
        </is>
      </c>
    </row>
    <row r="5">
      <c r="A5" s="14" t="inlineStr">
        <is>
          <t>FedEx</t>
        </is>
      </c>
      <c r="B5" s="14" t="inlineStr">
        <is>
          <t>SI</t>
        </is>
      </c>
    </row>
    <row r="6">
      <c r="A6" s="14" t="inlineStr">
        <is>
          <t>Paquetexpress</t>
        </is>
      </c>
      <c r="B6" s="14" t="inlineStr">
        <is>
          <t>SI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63D6"/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</cols>
  <sheetData>
    <row r="1" ht="36" customHeight="1">
      <c r="A1" s="11" t="inlineStr">
        <is>
          <t>CAT_Motivos  —  CATÁLOGO · La app LEE esta hoja · Solo administradores la editan.  Opciones que aparecen en listas de la app.</t>
        </is>
      </c>
    </row>
    <row r="2" ht="30" customHeight="1">
      <c r="A2" s="12" t="inlineStr">
        <is>
          <t>Tipo</t>
        </is>
      </c>
      <c r="B2" s="12" t="inlineStr">
        <is>
          <t>Motivo</t>
        </is>
      </c>
      <c r="C2" s="12" t="inlineStr">
        <is>
          <t>Activo</t>
        </is>
      </c>
    </row>
    <row r="3">
      <c r="A3" s="14" t="inlineStr">
        <is>
          <t>REIMPRESION</t>
        </is>
      </c>
      <c r="B3" s="14" t="inlineStr">
        <is>
          <t>Etiqueta dañada</t>
        </is>
      </c>
      <c r="C3" s="14" t="inlineStr">
        <is>
          <t>SI</t>
        </is>
      </c>
    </row>
    <row r="4">
      <c r="A4" s="14" t="inlineStr">
        <is>
          <t>REIMPRESION</t>
        </is>
      </c>
      <c r="B4" s="14" t="inlineStr">
        <is>
          <t>No imprimió</t>
        </is>
      </c>
      <c r="C4" s="14" t="inlineStr">
        <is>
          <t>SI</t>
        </is>
      </c>
    </row>
    <row r="5">
      <c r="A5" s="14" t="inlineStr">
        <is>
          <t>REIMPRESION</t>
        </is>
      </c>
      <c r="B5" s="14" t="inlineStr">
        <is>
          <t>Se cayó o despegó</t>
        </is>
      </c>
      <c r="C5" s="14" t="inlineStr">
        <is>
          <t>SI</t>
        </is>
      </c>
    </row>
    <row r="6">
      <c r="A6" s="14" t="inlineStr">
        <is>
          <t>REIMPRESION</t>
        </is>
      </c>
      <c r="B6" s="14" t="inlineStr">
        <is>
          <t>Otro</t>
        </is>
      </c>
      <c r="C6" s="14" t="inlineStr">
        <is>
          <t>SI</t>
        </is>
      </c>
    </row>
    <row r="7">
      <c r="A7" s="14" t="inlineStr">
        <is>
          <t>ELIMINACION</t>
        </is>
      </c>
      <c r="B7" s="14" t="inlineStr">
        <is>
          <t>Traspaso duplicado</t>
        </is>
      </c>
      <c r="C7" s="14" t="inlineStr">
        <is>
          <t>SI</t>
        </is>
      </c>
    </row>
    <row r="8">
      <c r="A8" s="14" t="inlineStr">
        <is>
          <t>ELIMINACION</t>
        </is>
      </c>
      <c r="B8" s="14" t="inlineStr">
        <is>
          <t>Destino equivocado</t>
        </is>
      </c>
      <c r="C8" s="14" t="inlineStr">
        <is>
          <t>SI</t>
        </is>
      </c>
    </row>
    <row r="9">
      <c r="A9" s="14" t="inlineStr">
        <is>
          <t>ELIMINACION</t>
        </is>
      </c>
      <c r="B9" s="14" t="inlineStr">
        <is>
          <t>Ya no se envía</t>
        </is>
      </c>
      <c r="C9" s="14" t="inlineStr">
        <is>
          <t>SI</t>
        </is>
      </c>
    </row>
    <row r="10">
      <c r="A10" s="14" t="inlineStr">
        <is>
          <t>ELIMINACION</t>
        </is>
      </c>
      <c r="B10" s="14" t="inlineStr">
        <is>
          <t>Otro</t>
        </is>
      </c>
      <c r="C10" s="14" t="inlineStr">
        <is>
          <t>SI</t>
        </is>
      </c>
    </row>
    <row r="11">
      <c r="A11" s="14" t="inlineStr">
        <is>
          <t>INCIDENCIA</t>
        </is>
      </c>
      <c r="B11" s="14" t="inlineStr">
        <is>
          <t>Faltan bultos</t>
        </is>
      </c>
      <c r="C11" s="14" t="inlineStr">
        <is>
          <t>SI</t>
        </is>
      </c>
    </row>
    <row r="12">
      <c r="A12" s="14" t="inlineStr">
        <is>
          <t>INCIDENCIA</t>
        </is>
      </c>
      <c r="B12" s="14" t="inlineStr">
        <is>
          <t>Llegó dañado</t>
        </is>
      </c>
      <c r="C12" s="14" t="inlineStr">
        <is>
          <t>SI</t>
        </is>
      </c>
    </row>
    <row r="13">
      <c r="A13" s="14" t="inlineStr">
        <is>
          <t>INCIDENCIA</t>
        </is>
      </c>
      <c r="B13" s="14" t="inlineStr">
        <is>
          <t>Otro</t>
        </is>
      </c>
      <c r="C13" s="14" t="inlineStr">
        <is>
          <t>SI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6B8"/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 ht="36" customHeight="1">
      <c r="A1" s="34" t="inlineStr">
        <is>
          <t>CFG_Ajustes  —  AJUSTES · La app LEE esta hoja · Solo administradores la editan.  Parámetros de la app. Cambia solo la columna Valor.</t>
        </is>
      </c>
    </row>
    <row r="2" ht="30" customHeight="1">
      <c r="A2" s="35" t="inlineStr">
        <is>
          <t>Parámetro</t>
        </is>
      </c>
      <c r="B2" s="35" t="inlineStr">
        <is>
          <t>Valor</t>
        </is>
      </c>
      <c r="C2" s="35" t="inlineStr">
        <is>
          <t>Qué hace</t>
        </is>
      </c>
    </row>
    <row r="3">
      <c r="A3" s="14" t="inlineStr">
        <is>
          <t>sesion_horas_sucursal</t>
        </is>
      </c>
      <c r="B3" s="14" t="n">
        <v>12</v>
      </c>
      <c r="C3" s="14" t="inlineStr">
        <is>
          <t>Horas antes de cerrar sesión en computadoras de sucursales y áreas.</t>
        </is>
      </c>
    </row>
    <row r="4">
      <c r="A4" s="14" t="inlineStr">
        <is>
          <t>sesion_horas_admin</t>
        </is>
      </c>
      <c r="B4" s="14" t="n">
        <v>12</v>
      </c>
      <c r="C4" s="14" t="inlineStr">
        <is>
          <t>Horas antes de cerrar sesión de administradores.</t>
        </is>
      </c>
    </row>
    <row r="5">
      <c r="A5" s="14" t="inlineStr">
        <is>
          <t>alerta_sin_recolectar_horas</t>
        </is>
      </c>
      <c r="B5" s="14" t="n">
        <v>4</v>
      </c>
      <c r="C5" s="14" t="inlineStr">
        <is>
          <t>Avisar si un traspaso nuevo no se recolecta en este tiempo.</t>
        </is>
      </c>
    </row>
    <row r="6">
      <c r="A6" s="14" t="inlineStr">
        <is>
          <t>alerta_transito_horas</t>
        </is>
      </c>
      <c r="B6" s="14" t="n">
        <v>24</v>
      </c>
      <c r="C6" s="14" t="inlineStr">
        <is>
          <t>Avisar si un traspaso lleva este tiempo con gestoría sin entregarse.</t>
        </is>
      </c>
    </row>
    <row r="7">
      <c r="A7" s="14" t="inlineStr">
        <is>
          <t>alerta_paqueteria_dias</t>
        </is>
      </c>
      <c r="B7" s="14" t="n">
        <v>4</v>
      </c>
      <c r="C7" s="14" t="inlineStr">
        <is>
          <t>Avisar si un envío por paquetería tarda más de estos días.</t>
        </is>
      </c>
    </row>
    <row r="8">
      <c r="A8" s="14" t="inlineStr">
        <is>
          <t>revisar_avisos_cada_seg</t>
        </is>
      </c>
      <c r="B8" s="14" t="n">
        <v>45</v>
      </c>
      <c r="C8" s="14" t="inlineStr">
        <is>
          <t>Cada cuántos segundos la app revisa si hay traspasos nuevos para el área.</t>
        </is>
      </c>
    </row>
    <row r="9">
      <c r="A9" s="14" t="inlineStr">
        <is>
          <t>folio_digitos</t>
        </is>
      </c>
      <c r="B9" s="14" t="n">
        <v>4</v>
      </c>
      <c r="C9" s="14" t="inlineStr">
        <is>
          <t>Dígitos del consecutivo del folio (NR-0001).</t>
        </is>
      </c>
    </row>
    <row r="10">
      <c r="A10" s="14" t="inlineStr">
        <is>
          <t>etiqueta_ancho_mm</t>
        </is>
      </c>
      <c r="B10" s="36" t="n">
        <v>62</v>
      </c>
      <c r="C10" s="14" t="inlineStr">
        <is>
          <t>Ancho de la etiqueta. PENDIENTE confirmar con el modelo de la etiquetadora.</t>
        </is>
      </c>
    </row>
    <row r="11">
      <c r="A11" s="14" t="inlineStr">
        <is>
          <t>etiqueta_alto_mm</t>
        </is>
      </c>
      <c r="B11" s="36" t="n">
        <v>100</v>
      </c>
      <c r="C11" s="14" t="inlineStr">
        <is>
          <t>Alto de la etiqueta. PENDIENTE confirmar.</t>
        </is>
      </c>
    </row>
    <row r="12">
      <c r="A12" s="14" t="inlineStr">
        <is>
          <t>etiquetadora_modelo</t>
        </is>
      </c>
      <c r="B12" s="36" t="inlineStr">
        <is>
          <t>PENDIENTE</t>
        </is>
      </c>
      <c r="C12" s="14" t="inlineStr">
        <is>
          <t>Modelo de las etiquetadoras Brother.</t>
        </is>
      </c>
    </row>
    <row r="13">
      <c r="A13" s="14" t="inlineStr">
        <is>
          <t>logo_empresa</t>
        </is>
      </c>
      <c r="B13" s="36" t="inlineStr">
        <is>
          <t>PENDIENTE</t>
        </is>
      </c>
      <c r="C13" s="14" t="inlineStr">
        <is>
          <t>Imagen/logo de la empresa para la app y las etiquetas.</t>
        </is>
      </c>
    </row>
    <row r="14">
      <c r="A14" s="14" t="inlineStr">
        <is>
          <t>url_archivo_operaciones</t>
        </is>
      </c>
      <c r="B14" s="36" t="inlineStr">
        <is>
          <t>PENDIENTE</t>
        </is>
      </c>
      <c r="C14" s="14" t="inlineStr">
        <is>
          <t>Pega aquí el link de tu archivo de Operaciones (el que tiene APP_Traspasos). De ahí se jalan las recolecciones de los gestores.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B7F38"/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2" customWidth="1" min="4" max="4"/>
    <col width="26" customWidth="1" min="5" max="5"/>
    <col width="12" customWidth="1" min="6" max="6"/>
    <col width="26" customWidth="1" min="7" max="7"/>
    <col width="40" customWidth="1" min="8" max="8"/>
    <col width="8" customWidth="1" min="9" max="9"/>
    <col width="24" customWidth="1" min="10" max="10"/>
    <col width="14" customWidth="1" min="11" max="11"/>
    <col width="10" customWidth="1" min="12" max="12"/>
    <col width="22" customWidth="1" min="13" max="13"/>
    <col width="22" customWidth="1" min="14" max="14"/>
    <col width="14" customWidth="1" min="15" max="15"/>
    <col width="18" customWidth="1" min="16" max="16"/>
    <col width="16" customWidth="1" min="17" max="17"/>
    <col width="14" customWidth="1" min="18" max="18"/>
    <col width="20" customWidth="1" min="19" max="19"/>
    <col width="16" customWidth="1" min="20" max="20"/>
    <col width="22" customWidth="1" min="21" max="21"/>
    <col width="10" customWidth="1" min="22" max="22"/>
    <col width="10" customWidth="1" min="23" max="23"/>
    <col width="12" customWidth="1" min="24" max="24"/>
    <col width="18" customWidth="1" min="25" max="25"/>
  </cols>
  <sheetData>
    <row r="1" ht="36" customHeight="1">
      <c r="A1" s="37" t="inlineStr">
        <is>
          <t>RES_Traspasos  —  RESULTADOS · La app ESCRIBE aquí sola · NO editar a mano.  Un renglón por traspaso, siempre con su estado más reciente. El color de cada fila es el de su estatus.</t>
        </is>
      </c>
    </row>
    <row r="2" ht="30" customHeight="1">
      <c r="A2" s="38" t="inlineStr">
        <is>
          <t>Folio</t>
        </is>
      </c>
      <c r="B2" s="38" t="inlineStr">
        <is>
          <t>Fecha creación</t>
        </is>
      </c>
      <c r="C2" s="38" t="inlineStr">
        <is>
          <t>Hora</t>
        </is>
      </c>
      <c r="D2" s="38" t="inlineStr">
        <is>
          <t>Origen (prefijo)</t>
        </is>
      </c>
      <c r="E2" s="38" t="inlineStr">
        <is>
          <t>Origen</t>
        </is>
      </c>
      <c r="F2" s="38" t="inlineStr">
        <is>
          <t>Destino (prefijo)</t>
        </is>
      </c>
      <c r="G2" s="38" t="inlineStr">
        <is>
          <t>Destino</t>
        </is>
      </c>
      <c r="H2" s="38" t="inlineStr">
        <is>
          <t>Descripción</t>
        </is>
      </c>
      <c r="I2" s="38" t="inlineStr">
        <is>
          <t>Bultos</t>
        </is>
      </c>
      <c r="J2" s="38" t="inlineStr">
        <is>
          <t>Creado por</t>
        </is>
      </c>
      <c r="K2" s="38" t="inlineStr">
        <is>
          <t>Credencial</t>
        </is>
      </c>
      <c r="L2" s="38" t="inlineStr">
        <is>
          <t>Sin credencial</t>
        </is>
      </c>
      <c r="M2" s="38" t="inlineStr">
        <is>
          <t>Estatus</t>
        </is>
      </c>
      <c r="N2" s="38" t="inlineStr">
        <is>
          <t>Ubicación actual</t>
        </is>
      </c>
      <c r="O2" s="38" t="inlineStr">
        <is>
          <t>Ruta</t>
        </is>
      </c>
      <c r="P2" s="38" t="inlineStr">
        <is>
          <t>Gestor</t>
        </is>
      </c>
      <c r="Q2" s="38" t="inlineStr">
        <is>
          <t>Fecha recolección</t>
        </is>
      </c>
      <c r="R2" s="38" t="inlineStr">
        <is>
          <t>Paquetería</t>
        </is>
      </c>
      <c r="S2" s="38" t="inlineStr">
        <is>
          <t>Guía</t>
        </is>
      </c>
      <c r="T2" s="38" t="inlineStr">
        <is>
          <t>Fecha entrega</t>
        </is>
      </c>
      <c r="U2" s="38" t="inlineStr">
        <is>
          <t>Recibido por</t>
        </is>
      </c>
      <c r="V2" s="38" t="inlineStr">
        <is>
          <t>Bultos recibidos</t>
        </is>
      </c>
      <c r="W2" s="38" t="inlineStr">
        <is>
          <t>Reimpresiones</t>
        </is>
      </c>
      <c r="X2" s="38" t="inlineStr">
        <is>
          <t>Eliminación solicitada</t>
        </is>
      </c>
      <c r="Y2" s="38" t="inlineStr">
        <is>
          <t>Última actualización</t>
        </is>
      </c>
    </row>
  </sheetData>
  <autoFilter ref="A2:Y2"/>
  <mergeCells count="1">
    <mergeCell ref="A1:Y1"/>
  </mergeCells>
  <conditionalFormatting sqref="A3:Y2000">
    <cfRule type="expression" priority="1" dxfId="0">
      <formula>$M3="NUEVO"</formula>
    </cfRule>
    <cfRule type="expression" priority="2" dxfId="1">
      <formula>$M3="RECOLECTADO"</formula>
    </cfRule>
    <cfRule type="expression" priority="3" dxfId="2">
      <formula>$M3="EN_LOGISTICA"</formula>
    </cfRule>
    <cfRule type="expression" priority="4" dxfId="3">
      <formula>$M3="PAQUETERIA"</formula>
    </cfRule>
    <cfRule type="expression" priority="5" dxfId="4">
      <formula>$M3="ENTREGADO"</formula>
    </cfRule>
    <cfRule type="expression" priority="6" dxfId="5">
      <formula>$M3="INCIDENCIA"</formula>
    </cfRule>
    <cfRule type="expression" priority="7" dxfId="6">
      <formula>$M3="UBICADO"</formula>
    </cfRule>
    <cfRule type="expression" priority="8" dxfId="7">
      <formula>$M3="EXTRAVIADO"</formula>
    </cfRule>
    <cfRule type="expression" priority="9" dxfId="8">
      <formula>$M3="ELIMINACION_SOLICITADA"</formula>
    </cfRule>
    <cfRule type="expression" priority="10" dxfId="9">
      <formula>$M3="ELIMINADO"</formula>
    </cfRule>
  </conditionalFormatting>
  <dataValidations count="1">
    <dataValidation sqref="M3:M5000" showDropDown="0" showInputMessage="0" showErrorMessage="0" allowBlank="1" type="list">
      <formula1>=CAT_Estatus!$A$3:$A$20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7F38"/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8" customWidth="1" min="5" max="5"/>
    <col width="20" customWidth="1" min="6" max="6"/>
    <col width="20" customWidth="1" min="7" max="7"/>
    <col width="22" customWidth="1" min="8" max="8"/>
    <col width="24" customWidth="1" min="9" max="9"/>
    <col width="14" customWidth="1" min="10" max="10"/>
    <col width="18" customWidth="1" min="11" max="11"/>
    <col width="12" customWidth="1" min="12" max="12"/>
    <col width="50" customWidth="1" min="13" max="13"/>
  </cols>
  <sheetData>
    <row r="1" ht="36" customHeight="1">
      <c r="A1" s="37" t="inlineStr">
        <is>
          <t>RES_Movimientos  —  RESULTADOS · La app ESCRIBE aquí sola · NO editar a mano.  Bitácora: un renglón por cada cosa que le pasa a un traspaso. Así se arma la línea de tiempo.</t>
        </is>
      </c>
    </row>
    <row r="2" ht="30" customHeight="1">
      <c r="A2" s="38" t="inlineStr">
        <is>
          <t>ID</t>
        </is>
      </c>
      <c r="B2" s="38" t="inlineStr">
        <is>
          <t>Fecha</t>
        </is>
      </c>
      <c r="C2" s="38" t="inlineStr">
        <is>
          <t>Hora</t>
        </is>
      </c>
      <c r="D2" s="38" t="inlineStr">
        <is>
          <t>Folio</t>
        </is>
      </c>
      <c r="E2" s="38" t="inlineStr">
        <is>
          <t>Acción</t>
        </is>
      </c>
      <c r="F2" s="38" t="inlineStr">
        <is>
          <t>Estatus anterior</t>
        </is>
      </c>
      <c r="G2" s="38" t="inlineStr">
        <is>
          <t>Estatus nuevo</t>
        </is>
      </c>
      <c r="H2" s="38" t="inlineStr">
        <is>
          <t>Dónde ocurrió (área)</t>
        </is>
      </c>
      <c r="I2" s="38" t="inlineStr">
        <is>
          <t>Persona</t>
        </is>
      </c>
      <c r="J2" s="38" t="inlineStr">
        <is>
          <t>Credencial</t>
        </is>
      </c>
      <c r="K2" s="38" t="inlineStr">
        <is>
          <t>Medio</t>
        </is>
      </c>
      <c r="L2" s="38" t="inlineStr">
        <is>
          <t>Equipo</t>
        </is>
      </c>
      <c r="M2" s="38" t="inlineStr">
        <is>
          <t>Detalle</t>
        </is>
      </c>
    </row>
  </sheetData>
  <autoFilter ref="A2:M2"/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B7F38"/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22" customWidth="1" min="5" max="5"/>
    <col width="18" customWidth="1" min="6" max="6"/>
    <col width="10" customWidth="1" min="7" max="7"/>
    <col width="60" customWidth="1" min="8" max="8"/>
  </cols>
  <sheetData>
    <row r="1" ht="36" customHeight="1">
      <c r="A1" s="37" t="inlineStr">
        <is>
          <t>RES_Escaneos  —  RESULTADOS · La app ESCRIBE aquí sola · NO editar a mano.  Cada escaneo o folio tecleado, incluidos los errores. Sirve para detectar errores humanos.</t>
        </is>
      </c>
    </row>
    <row r="2" ht="30" customHeight="1">
      <c r="A2" s="38" t="inlineStr">
        <is>
          <t>Fecha</t>
        </is>
      </c>
      <c r="B2" s="38" t="inlineStr">
        <is>
          <t>Hora</t>
        </is>
      </c>
      <c r="C2" s="38" t="inlineStr">
        <is>
          <t>Área</t>
        </is>
      </c>
      <c r="D2" s="38" t="inlineStr">
        <is>
          <t>Equipo</t>
        </is>
      </c>
      <c r="E2" s="38" t="inlineStr">
        <is>
          <t>Modo</t>
        </is>
      </c>
      <c r="F2" s="38" t="inlineStr">
        <is>
          <t>Texto escaneado</t>
        </is>
      </c>
      <c r="G2" s="38" t="inlineStr">
        <is>
          <t>Resultado</t>
        </is>
      </c>
      <c r="H2" s="38" t="inlineStr">
        <is>
          <t>Mensaje mostrado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B7F38"/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8" customWidth="1" min="4" max="4"/>
    <col width="12" customWidth="1" min="5" max="5"/>
    <col width="24" customWidth="1" min="6" max="6"/>
    <col width="30" customWidth="1" min="7" max="7"/>
  </cols>
  <sheetData>
    <row r="1" ht="36" customHeight="1">
      <c r="A1" s="37" t="inlineStr">
        <is>
          <t>RES_Etiquetas  —  RESULTADOS · La app ESCRIBE aquí sola · NO editar a mano.  Cada etiqueta impresa y reimpresa.</t>
        </is>
      </c>
    </row>
    <row r="2" ht="30" customHeight="1">
      <c r="A2" s="38" t="inlineStr">
        <is>
          <t>Fecha</t>
        </is>
      </c>
      <c r="B2" s="38" t="inlineStr">
        <is>
          <t>Hora</t>
        </is>
      </c>
      <c r="C2" s="38" t="inlineStr">
        <is>
          <t>Folio</t>
        </is>
      </c>
      <c r="D2" s="38" t="inlineStr">
        <is>
          <t>Bulto</t>
        </is>
      </c>
      <c r="E2" s="38" t="inlineStr">
        <is>
          <t>Impresión</t>
        </is>
      </c>
      <c r="F2" s="38" t="inlineStr">
        <is>
          <t>Persona</t>
        </is>
      </c>
      <c r="G2" s="38" t="inlineStr">
        <is>
          <t>Motivo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B7F38"/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4" customWidth="1" min="4" max="4"/>
    <col width="22" customWidth="1" min="5" max="5"/>
    <col width="40" customWidth="1" min="6" max="6"/>
    <col width="14" customWidth="1" min="7" max="7"/>
    <col width="28" customWidth="1" min="8" max="8"/>
    <col width="16" customWidth="1" min="9" max="9"/>
    <col width="40" customWidth="1" min="10" max="10"/>
  </cols>
  <sheetData>
    <row r="1" ht="36" customHeight="1">
      <c r="A1" s="37" t="inlineStr">
        <is>
          <t>RES_Solicitudes  —  RESULTADOS · La app ESCRIBE aquí sola · NO editar a mano.  Solicitudes de eliminación y su respuesta.</t>
        </is>
      </c>
    </row>
    <row r="2" ht="30" customHeight="1">
      <c r="A2" s="38" t="inlineStr">
        <is>
          <t>ID</t>
        </is>
      </c>
      <c r="B2" s="38" t="inlineStr">
        <is>
          <t>Fecha</t>
        </is>
      </c>
      <c r="C2" s="38" t="inlineStr">
        <is>
          <t>Folio</t>
        </is>
      </c>
      <c r="D2" s="38" t="inlineStr">
        <is>
          <t>Solicitó</t>
        </is>
      </c>
      <c r="E2" s="38" t="inlineStr">
        <is>
          <t>Área</t>
        </is>
      </c>
      <c r="F2" s="38" t="inlineStr">
        <is>
          <t>Motivo</t>
        </is>
      </c>
      <c r="G2" s="38" t="inlineStr">
        <is>
          <t>Estado</t>
        </is>
      </c>
      <c r="H2" s="38" t="inlineStr">
        <is>
          <t>Administrador</t>
        </is>
      </c>
      <c r="I2" s="38" t="inlineStr">
        <is>
          <t>Fecha respuesta</t>
        </is>
      </c>
      <c r="J2" s="38" t="inlineStr">
        <is>
          <t>Comentario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7F38"/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20" customWidth="1" min="4" max="4"/>
    <col width="18" customWidth="1" min="5" max="5"/>
    <col width="30" customWidth="1" min="6" max="6"/>
    <col width="30" customWidth="1" min="7" max="7"/>
    <col width="40" customWidth="1" min="8" max="8"/>
  </cols>
  <sheetData>
    <row r="1" ht="36" customHeight="1">
      <c r="A1" s="37" t="inlineStr">
        <is>
          <t>RES_Administracion  —  RESULTADOS · La app ESCRIBE aquí sola · NO editar a mano.  Todo lo que hacen los administradores: ediciones, movimientos, eliminaciones, altas.</t>
        </is>
      </c>
    </row>
    <row r="2" ht="30" customHeight="1">
      <c r="A2" s="38" t="inlineStr">
        <is>
          <t>Fecha</t>
        </is>
      </c>
      <c r="B2" s="38" t="inlineStr">
        <is>
          <t>Hora</t>
        </is>
      </c>
      <c r="C2" s="38" t="inlineStr">
        <is>
          <t>Administrador</t>
        </is>
      </c>
      <c r="D2" s="38" t="inlineStr">
        <is>
          <t>Acción</t>
        </is>
      </c>
      <c r="E2" s="38" t="inlineStr">
        <is>
          <t>Objeto</t>
        </is>
      </c>
      <c r="F2" s="38" t="inlineStr">
        <is>
          <t>Antes</t>
        </is>
      </c>
      <c r="G2" s="38" t="inlineStr">
        <is>
          <t>Después</t>
        </is>
      </c>
      <c r="H2" s="38" t="inlineStr">
        <is>
          <t>Motivo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B7F38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2" customWidth="1" min="4" max="4"/>
    <col width="12" customWidth="1" min="5" max="5"/>
    <col width="40" customWidth="1" min="6" max="6"/>
  </cols>
  <sheetData>
    <row r="1" ht="36" customHeight="1">
      <c r="A1" s="37" t="inlineStr">
        <is>
          <t>RES_Sesiones  —  RESULTADOS · La app ESCRIBE aquí sola · NO editar a mano.  Entradas y salidas de cuentas.</t>
        </is>
      </c>
    </row>
    <row r="2" ht="30" customHeight="1">
      <c r="A2" s="38" t="inlineStr">
        <is>
          <t>Fecha</t>
        </is>
      </c>
      <c r="B2" s="38" t="inlineStr">
        <is>
          <t>Hora</t>
        </is>
      </c>
      <c r="C2" s="38" t="inlineStr">
        <is>
          <t>Cuenta</t>
        </is>
      </c>
      <c r="D2" s="38" t="inlineStr">
        <is>
          <t>Equipo</t>
        </is>
      </c>
      <c r="E2" s="38" t="inlineStr">
        <is>
          <t>Evento</t>
        </is>
      </c>
      <c r="F2" s="38" t="inlineStr">
        <is>
          <t>Dispositivo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B7F38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60" customWidth="1" min="5" max="5"/>
    <col width="8" customWidth="1" min="6" max="6"/>
  </cols>
  <sheetData>
    <row r="1" ht="36" customHeight="1">
      <c r="A1" s="37" t="inlineStr">
        <is>
          <t>RES_Avisos  —  RESULTADOS · La app ESCRIBE aquí sola · NO editar a mano.  Avisos enviados a cada área (traspaso nuevo, va en camino, alertas).</t>
        </is>
      </c>
    </row>
    <row r="2" ht="30" customHeight="1">
      <c r="A2" s="38" t="inlineStr">
        <is>
          <t>Fecha</t>
        </is>
      </c>
      <c r="B2" s="38" t="inlineStr">
        <is>
          <t>Hora</t>
        </is>
      </c>
      <c r="C2" s="38" t="inlineStr">
        <is>
          <t>Para (área)</t>
        </is>
      </c>
      <c r="D2" s="38" t="inlineStr">
        <is>
          <t>Folio</t>
        </is>
      </c>
      <c r="E2" s="38" t="inlineStr">
        <is>
          <t>Mensaje</t>
        </is>
      </c>
      <c r="F2" s="38" t="inlineStr">
        <is>
          <t>Visto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B6C80"/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4" customWidth="1" min="5" max="5"/>
    <col width="16" customWidth="1" min="6" max="6"/>
    <col width="12" customWidth="1" min="7" max="7"/>
    <col width="24" customWidth="1" min="8" max="8"/>
    <col width="16" customWidth="1" min="9" max="9"/>
    <col width="30" customWidth="1" min="10" max="10"/>
  </cols>
  <sheetData>
    <row r="1" ht="36" customHeight="1">
      <c r="A1" s="39" t="inlineStr">
        <is>
          <t>IMP_Recolecciones  —  IMPORTADO · Se copia solo desde tu archivo de Operaciones · NO editar.  Copia en vivo de la hoja APP_Traspasos de tu archivo de Operaciones (lo que escanean los gestores). La app la cruza por Folio y actualiza RES_Traspasos.</t>
        </is>
      </c>
    </row>
    <row r="2" ht="30" customHeight="1">
      <c r="A2" s="40" t="inlineStr">
        <is>
          <t>Folio</t>
        </is>
      </c>
      <c r="B2" s="40" t="inlineStr">
        <is>
          <t>FechaRecoleccion</t>
        </is>
      </c>
      <c r="C2" s="40" t="inlineStr">
        <is>
          <t>Gestor</t>
        </is>
      </c>
      <c r="D2" s="40" t="inlineStr">
        <is>
          <t>Vehiculo</t>
        </is>
      </c>
      <c r="E2" s="40" t="inlineStr">
        <is>
          <t>Origen</t>
        </is>
      </c>
      <c r="F2" s="40" t="inlineStr">
        <is>
          <t>Destino</t>
        </is>
      </c>
      <c r="G2" s="40" t="inlineStr">
        <is>
          <t>Area</t>
        </is>
      </c>
      <c r="H2" s="40" t="inlineStr">
        <is>
          <t>Contenido</t>
        </is>
      </c>
      <c r="I2" s="40" t="inlineStr">
        <is>
          <t>Estado</t>
        </is>
      </c>
      <c r="J2" s="40" t="inlineStr">
        <is>
          <t>URLFotoRecoleccion</t>
        </is>
      </c>
    </row>
    <row r="3">
      <c r="A3">
        <f>IFERROR(IMPORTRANGE(CFG_Ajustes!B14,"APP_Traspasos!A2:J"),"Pega el link del archivo de Operaciones en CFG_Ajustes (url_archivo_operaciones) y luego da clic aquí en Permitir acceso")</f>
        <v/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B6C80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</cols>
  <sheetData>
    <row r="1" ht="36" customHeight="1">
      <c r="A1" s="39" t="inlineStr">
        <is>
          <t>IMP_NoRegistrados  —  IMPORTADO · Se copia solo desde tu archivo de Operaciones · NO editar.  Folios que escaneó un gestor pero NO existen en este sistema (mal escaneados, o traspasos hechos fuera del sistema). Revisar.</t>
        </is>
      </c>
    </row>
    <row r="2" ht="30" customHeight="1">
      <c r="A2" s="40" t="inlineStr">
        <is>
          <t>Folio</t>
        </is>
      </c>
      <c r="B2" s="40" t="inlineStr">
        <is>
          <t>FechaRecoleccion</t>
        </is>
      </c>
      <c r="C2" s="40" t="inlineStr">
        <is>
          <t>Gestor</t>
        </is>
      </c>
      <c r="D2" s="40" t="inlineStr">
        <is>
          <t>Estado</t>
        </is>
      </c>
    </row>
    <row r="3">
      <c r="A3">
        <f>IFERROR(FILTER({IMP_Recolecciones!A3:C,IMP_Recolecciones!I3:I},IMP_Recolecciones!A3:A&lt;&gt;"",ISNA(MATCH(IMP_Recolecciones!A3:A,RES_Traspasos!A3:A,0))),"Sin folios desconocidos")</f>
        <v/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4440B"/>
    <outlinePr summaryBelow="1" summaryRight="1"/>
    <pageSetUpPr/>
  </sheetPr>
  <dimension ref="A1:D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</cols>
  <sheetData>
    <row r="1" ht="36" customHeight="1">
      <c r="A1" s="41" t="inlineStr">
        <is>
          <t>REP_Resumen  —  REPORTE · Fórmulas automáticas · Solo consultar.  Conteos automáticos a partir de RES_Traspasos.</t>
        </is>
      </c>
    </row>
    <row r="2" ht="30" customHeight="1">
      <c r="A2" s="42" t="inlineStr">
        <is>
          <t>Estatus</t>
        </is>
      </c>
      <c r="B2" s="42" t="inlineStr">
        <is>
          <t>Nombre</t>
        </is>
      </c>
      <c r="C2" s="42" t="inlineStr">
        <is>
          <t>Cantidad</t>
        </is>
      </c>
    </row>
    <row r="3">
      <c r="A3" t="inlineStr">
        <is>
          <t>NUEVO</t>
        </is>
      </c>
      <c r="B3" s="43" t="inlineStr">
        <is>
          <t>Nuevo traspaso</t>
        </is>
      </c>
      <c r="C3">
        <f>COUNTIF(RES_Traspasos!$M$3:$M,"NUEVO")</f>
        <v/>
      </c>
    </row>
    <row r="4">
      <c r="A4" t="inlineStr">
        <is>
          <t>RECOLECTADO</t>
        </is>
      </c>
      <c r="B4" s="44" t="inlineStr">
        <is>
          <t>Recolectado por gestoría</t>
        </is>
      </c>
      <c r="C4">
        <f>COUNTIF(RES_Traspasos!$M$3:$M,"RECOLECTADO")</f>
        <v/>
      </c>
    </row>
    <row r="5">
      <c r="A5" t="inlineStr">
        <is>
          <t>EN_LOGISTICA</t>
        </is>
      </c>
      <c r="B5" s="45" t="inlineStr">
        <is>
          <t>En Logística</t>
        </is>
      </c>
      <c r="C5">
        <f>COUNTIF(RES_Traspasos!$M$3:$M,"EN_LOGISTICA")</f>
        <v/>
      </c>
    </row>
    <row r="6">
      <c r="A6" t="inlineStr">
        <is>
          <t>PAQUETERIA</t>
        </is>
      </c>
      <c r="B6" s="46" t="inlineStr">
        <is>
          <t>Enviado por paquetería</t>
        </is>
      </c>
      <c r="C6">
        <f>COUNTIF(RES_Traspasos!$M$3:$M,"PAQUETERIA")</f>
        <v/>
      </c>
    </row>
    <row r="7">
      <c r="A7" t="inlineStr">
        <is>
          <t>ENTREGADO</t>
        </is>
      </c>
      <c r="B7" s="47" t="inlineStr">
        <is>
          <t>Entregado</t>
        </is>
      </c>
      <c r="C7">
        <f>COUNTIF(RES_Traspasos!$M$3:$M,"ENTREGADO")</f>
        <v/>
      </c>
    </row>
    <row r="8">
      <c r="A8" t="inlineStr">
        <is>
          <t>INCIDENCIA</t>
        </is>
      </c>
      <c r="B8" s="48" t="inlineStr">
        <is>
          <t>Recibido con incidencia</t>
        </is>
      </c>
      <c r="C8">
        <f>COUNTIF(RES_Traspasos!$M$3:$M,"INCIDENCIA")</f>
        <v/>
      </c>
    </row>
    <row r="9">
      <c r="A9" t="inlineStr">
        <is>
          <t>UBICADO</t>
        </is>
      </c>
      <c r="B9" s="49" t="inlineStr">
        <is>
          <t>El traspaso está en…</t>
        </is>
      </c>
      <c r="C9">
        <f>COUNTIF(RES_Traspasos!$M$3:$M,"UBICADO")</f>
        <v/>
      </c>
    </row>
    <row r="10">
      <c r="A10" t="inlineStr">
        <is>
          <t>EXTRAVIADO</t>
        </is>
      </c>
      <c r="B10" s="50" t="inlineStr">
        <is>
          <t>Extraviado</t>
        </is>
      </c>
      <c r="C10">
        <f>COUNTIF(RES_Traspasos!$M$3:$M,"EXTRAVIADO")</f>
        <v/>
      </c>
    </row>
    <row r="11">
      <c r="A11" t="inlineStr">
        <is>
          <t>ELIMINACION_SOLICITADA</t>
        </is>
      </c>
      <c r="B11" s="51" t="inlineStr">
        <is>
          <t>Eliminación solicitada</t>
        </is>
      </c>
      <c r="C11">
        <f>COUNTIF(RES_Traspasos!$M$3:$M,"ELIMINACION_SOLICITADA")</f>
        <v/>
      </c>
    </row>
    <row r="12">
      <c r="A12" t="inlineStr">
        <is>
          <t>ELIMINADO</t>
        </is>
      </c>
      <c r="B12" s="52" t="inlineStr">
        <is>
          <t>Eliminado</t>
        </is>
      </c>
      <c r="C12">
        <f>COUNTIF(RES_Traspasos!$M$3:$M,"ELIMINADO")</f>
        <v/>
      </c>
    </row>
    <row r="13">
      <c r="A13" s="3" t="inlineStr">
        <is>
          <t>TOTAL</t>
        </is>
      </c>
      <c r="C13" s="3">
        <f>SUM(C3:C12)</f>
        <v/>
      </c>
    </row>
    <row r="15">
      <c r="A15" s="3" t="inlineStr">
        <is>
          <t>Por área de origen</t>
        </is>
      </c>
    </row>
    <row r="16">
      <c r="A16" t="inlineStr">
        <is>
          <t>Área</t>
        </is>
      </c>
      <c r="C16" t="inlineStr">
        <is>
          <t>Traspasos</t>
        </is>
      </c>
    </row>
    <row r="17">
      <c r="A17" t="inlineStr">
        <is>
          <t>DIR</t>
        </is>
      </c>
      <c r="B17" t="inlineStr">
        <is>
          <t>Dirección</t>
        </is>
      </c>
      <c r="C17">
        <f>COUNTIF(RES_Traspasos!$D$3:$D,"DIR")</f>
        <v/>
      </c>
    </row>
    <row r="18">
      <c r="A18" t="inlineStr">
        <is>
          <t>LOG</t>
        </is>
      </c>
      <c r="B18" t="inlineStr">
        <is>
          <t>Logística</t>
        </is>
      </c>
      <c r="C18">
        <f>COUNTIF(RES_Traspasos!$D$3:$D,"LOG")</f>
        <v/>
      </c>
    </row>
    <row r="19">
      <c r="A19" t="inlineStr">
        <is>
          <t>COM</t>
        </is>
      </c>
      <c r="B19" t="inlineStr">
        <is>
          <t>Compras</t>
        </is>
      </c>
      <c r="C19">
        <f>COUNTIF(RES_Traspasos!$D$3:$D,"COM")</f>
        <v/>
      </c>
    </row>
    <row r="20">
      <c r="A20" t="inlineStr">
        <is>
          <t>MM</t>
        </is>
      </c>
      <c r="B20" t="inlineStr">
        <is>
          <t>Medicina Magistral</t>
        </is>
      </c>
      <c r="C20">
        <f>COUNTIF(RES_Traspasos!$D$3:$D,"MM")</f>
        <v/>
      </c>
    </row>
    <row r="21">
      <c r="A21" t="inlineStr">
        <is>
          <t>EPV</t>
        </is>
      </c>
      <c r="B21" t="inlineStr">
        <is>
          <t>Encargada de PV</t>
        </is>
      </c>
      <c r="C21">
        <f>COUNTIF(RES_Traspasos!$D$3:$D,"EPV")</f>
        <v/>
      </c>
    </row>
    <row r="22">
      <c r="A22" t="inlineStr">
        <is>
          <t>GG</t>
        </is>
      </c>
      <c r="B22" t="inlineStr">
        <is>
          <t>Gerente General</t>
        </is>
      </c>
      <c r="C22">
        <f>COUNTIF(RES_Traspasos!$D$3:$D,"GG")</f>
        <v/>
      </c>
    </row>
    <row r="23">
      <c r="A23" t="inlineStr">
        <is>
          <t>CONT</t>
        </is>
      </c>
      <c r="B23" t="inlineStr">
        <is>
          <t>Contabilidad</t>
        </is>
      </c>
      <c r="C23">
        <f>COUNTIF(RES_Traspasos!$D$3:$D,"CONT")</f>
        <v/>
      </c>
    </row>
    <row r="24">
      <c r="A24" t="inlineStr">
        <is>
          <t>FAC</t>
        </is>
      </c>
      <c r="B24" t="inlineStr">
        <is>
          <t>Facturación</t>
        </is>
      </c>
      <c r="C24">
        <f>COUNTIF(RES_Traspasos!$D$3:$D,"FAC")</f>
        <v/>
      </c>
    </row>
    <row r="25">
      <c r="A25" t="inlineStr">
        <is>
          <t>RH</t>
        </is>
      </c>
      <c r="B25" t="inlineStr">
        <is>
          <t>Recursos Humanos</t>
        </is>
      </c>
      <c r="C25">
        <f>COUNTIF(RES_Traspasos!$D$3:$D,"RH")</f>
        <v/>
      </c>
    </row>
    <row r="26">
      <c r="A26" t="inlineStr">
        <is>
          <t>NR</t>
        </is>
      </c>
      <c r="B26" t="inlineStr">
        <is>
          <t>PV</t>
        </is>
      </c>
      <c r="C26">
        <f>COUNTIF(RES_Traspasos!$D$3:$D,"NR")</f>
        <v/>
      </c>
    </row>
    <row r="27">
      <c r="A27" t="inlineStr">
        <is>
          <t>NR-RB</t>
        </is>
      </c>
      <c r="B27" t="inlineStr">
        <is>
          <t>Rebotica</t>
        </is>
      </c>
      <c r="C27">
        <f>COUNTIF(RES_Traspasos!$D$3:$D,"NR-RB")</f>
        <v/>
      </c>
    </row>
    <row r="28">
      <c r="A28" t="inlineStr">
        <is>
          <t>V</t>
        </is>
      </c>
      <c r="B28" t="inlineStr">
        <is>
          <t>PV</t>
        </is>
      </c>
      <c r="C28">
        <f>COUNTIF(RES_Traspasos!$D$3:$D,"V")</f>
        <v/>
      </c>
    </row>
    <row r="29">
      <c r="A29" t="inlineStr">
        <is>
          <t>V-RB</t>
        </is>
      </c>
      <c r="B29" t="inlineStr">
        <is>
          <t>Rebotica</t>
        </is>
      </c>
      <c r="C29">
        <f>COUNTIF(RES_Traspasos!$D$3:$D,"V-RB")</f>
        <v/>
      </c>
    </row>
    <row r="30">
      <c r="A30" t="inlineStr">
        <is>
          <t>D</t>
        </is>
      </c>
      <c r="B30" t="inlineStr">
        <is>
          <t>PV</t>
        </is>
      </c>
      <c r="C30">
        <f>COUNTIF(RES_Traspasos!$D$3:$D,"D")</f>
        <v/>
      </c>
    </row>
    <row r="31">
      <c r="A31" t="inlineStr">
        <is>
          <t>D-RB</t>
        </is>
      </c>
      <c r="B31" t="inlineStr">
        <is>
          <t>Rebotica</t>
        </is>
      </c>
      <c r="C31">
        <f>COUNTIF(RES_Traspasos!$D$3:$D,"D-RB")</f>
        <v/>
      </c>
    </row>
    <row r="32">
      <c r="A32" t="inlineStr">
        <is>
          <t>C</t>
        </is>
      </c>
      <c r="B32" t="inlineStr">
        <is>
          <t>PV</t>
        </is>
      </c>
      <c r="C32">
        <f>COUNTIF(RES_Traspasos!$D$3:$D,"C")</f>
        <v/>
      </c>
    </row>
    <row r="33">
      <c r="A33" t="inlineStr">
        <is>
          <t>C-RB</t>
        </is>
      </c>
      <c r="B33" t="inlineStr">
        <is>
          <t>Rebotica</t>
        </is>
      </c>
      <c r="C33">
        <f>COUNTIF(RES_Traspasos!$D$3:$D,"C-RB")</f>
        <v/>
      </c>
    </row>
    <row r="34">
      <c r="A34" t="inlineStr">
        <is>
          <t>E</t>
        </is>
      </c>
      <c r="B34" t="inlineStr">
        <is>
          <t>PV</t>
        </is>
      </c>
      <c r="C34">
        <f>COUNTIF(RES_Traspasos!$D$3:$D,"E")</f>
        <v/>
      </c>
    </row>
    <row r="35">
      <c r="A35" t="inlineStr">
        <is>
          <t>E-RB</t>
        </is>
      </c>
      <c r="B35" t="inlineStr">
        <is>
          <t>Rebotica</t>
        </is>
      </c>
      <c r="C35">
        <f>COUNTIF(RES_Traspasos!$D$3:$D,"E-RB")</f>
        <v/>
      </c>
    </row>
    <row r="36">
      <c r="A36" t="inlineStr">
        <is>
          <t>M</t>
        </is>
      </c>
      <c r="B36" t="inlineStr">
        <is>
          <t>PV</t>
        </is>
      </c>
      <c r="C36">
        <f>COUNTIF(RES_Traspasos!$D$3:$D,"M")</f>
        <v/>
      </c>
    </row>
    <row r="37">
      <c r="A37" t="inlineStr">
        <is>
          <t>M-RB</t>
        </is>
      </c>
      <c r="B37" t="inlineStr">
        <is>
          <t>Rebotica</t>
        </is>
      </c>
      <c r="C37">
        <f>COUNTIF(RES_Traspasos!$D$3:$D,"M-RB")</f>
        <v/>
      </c>
    </row>
    <row r="38">
      <c r="A38" t="inlineStr">
        <is>
          <t>BOT</t>
        </is>
      </c>
      <c r="B38" t="inlineStr">
        <is>
          <t>Botican</t>
        </is>
      </c>
      <c r="C38">
        <f>COUNTIF(RES_Traspasos!$D$3:$D,"BOT")</f>
        <v/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A6977"/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 ht="36" customHeight="1">
      <c r="A1" s="53" t="inlineStr">
        <is>
          <t>SYS_Folios  —  SISTEMA · Uso interno de la app · NO TOCAR.  Último consecutivo usado por cada prefijo. La app lo actualiza con candado para que nunca se repita un folio.</t>
        </is>
      </c>
    </row>
    <row r="2" ht="30" customHeight="1">
      <c r="A2" s="54" t="inlineStr">
        <is>
          <t>Prefijo</t>
        </is>
      </c>
      <c r="B2" s="54" t="inlineStr">
        <is>
          <t>Último número</t>
        </is>
      </c>
      <c r="C2" s="54" t="inlineStr">
        <is>
          <t>Actualizado</t>
        </is>
      </c>
    </row>
    <row r="3">
      <c r="A3" s="14" t="inlineStr">
        <is>
          <t>DIR</t>
        </is>
      </c>
      <c r="B3" s="14" t="n">
        <v>0</v>
      </c>
      <c r="C3" s="14" t="inlineStr"/>
    </row>
    <row r="4">
      <c r="A4" s="14" t="inlineStr">
        <is>
          <t>LOG</t>
        </is>
      </c>
      <c r="B4" s="14" t="n">
        <v>0</v>
      </c>
      <c r="C4" s="14" t="inlineStr"/>
    </row>
    <row r="5">
      <c r="A5" s="14" t="inlineStr">
        <is>
          <t>COM</t>
        </is>
      </c>
      <c r="B5" s="14" t="n">
        <v>0</v>
      </c>
      <c r="C5" s="14" t="inlineStr"/>
    </row>
    <row r="6">
      <c r="A6" s="14" t="inlineStr">
        <is>
          <t>MM</t>
        </is>
      </c>
      <c r="B6" s="14" t="n">
        <v>0</v>
      </c>
      <c r="C6" s="14" t="inlineStr"/>
    </row>
    <row r="7">
      <c r="A7" s="14" t="inlineStr">
        <is>
          <t>EPV</t>
        </is>
      </c>
      <c r="B7" s="14" t="n">
        <v>0</v>
      </c>
      <c r="C7" s="14" t="inlineStr"/>
    </row>
    <row r="8">
      <c r="A8" s="14" t="inlineStr">
        <is>
          <t>GG</t>
        </is>
      </c>
      <c r="B8" s="14" t="n">
        <v>0</v>
      </c>
      <c r="C8" s="14" t="inlineStr"/>
    </row>
    <row r="9">
      <c r="A9" s="14" t="inlineStr">
        <is>
          <t>CONT</t>
        </is>
      </c>
      <c r="B9" s="14" t="n">
        <v>0</v>
      </c>
      <c r="C9" s="14" t="inlineStr"/>
    </row>
    <row r="10">
      <c r="A10" s="14" t="inlineStr">
        <is>
          <t>FAC</t>
        </is>
      </c>
      <c r="B10" s="14" t="n">
        <v>0</v>
      </c>
      <c r="C10" s="14" t="inlineStr"/>
    </row>
    <row r="11">
      <c r="A11" s="14" t="inlineStr">
        <is>
          <t>RH</t>
        </is>
      </c>
      <c r="B11" s="14" t="n">
        <v>0</v>
      </c>
      <c r="C11" s="14" t="inlineStr"/>
    </row>
    <row r="12">
      <c r="A12" s="14" t="inlineStr">
        <is>
          <t>NR</t>
        </is>
      </c>
      <c r="B12" s="14" t="n">
        <v>0</v>
      </c>
      <c r="C12" s="14" t="inlineStr"/>
    </row>
    <row r="13">
      <c r="A13" s="14" t="inlineStr">
        <is>
          <t>NR-RB</t>
        </is>
      </c>
      <c r="B13" s="14" t="n">
        <v>0</v>
      </c>
      <c r="C13" s="14" t="inlineStr"/>
    </row>
    <row r="14">
      <c r="A14" s="14" t="inlineStr">
        <is>
          <t>V</t>
        </is>
      </c>
      <c r="B14" s="14" t="n">
        <v>0</v>
      </c>
      <c r="C14" s="14" t="inlineStr"/>
    </row>
    <row r="15">
      <c r="A15" s="14" t="inlineStr">
        <is>
          <t>V-RB</t>
        </is>
      </c>
      <c r="B15" s="14" t="n">
        <v>0</v>
      </c>
      <c r="C15" s="14" t="inlineStr"/>
    </row>
    <row r="16">
      <c r="A16" s="14" t="inlineStr">
        <is>
          <t>D</t>
        </is>
      </c>
      <c r="B16" s="14" t="n">
        <v>0</v>
      </c>
      <c r="C16" s="14" t="inlineStr"/>
    </row>
    <row r="17">
      <c r="A17" s="14" t="inlineStr">
        <is>
          <t>D-RB</t>
        </is>
      </c>
      <c r="B17" s="14" t="n">
        <v>0</v>
      </c>
      <c r="C17" s="14" t="inlineStr"/>
    </row>
    <row r="18">
      <c r="A18" s="14" t="inlineStr">
        <is>
          <t>C</t>
        </is>
      </c>
      <c r="B18" s="14" t="n">
        <v>0</v>
      </c>
      <c r="C18" s="14" t="inlineStr"/>
    </row>
    <row r="19">
      <c r="A19" s="14" t="inlineStr">
        <is>
          <t>C-RB</t>
        </is>
      </c>
      <c r="B19" s="14" t="n">
        <v>0</v>
      </c>
      <c r="C19" s="14" t="inlineStr"/>
    </row>
    <row r="20">
      <c r="A20" s="14" t="inlineStr">
        <is>
          <t>E</t>
        </is>
      </c>
      <c r="B20" s="14" t="n">
        <v>0</v>
      </c>
      <c r="C20" s="14" t="inlineStr"/>
    </row>
    <row r="21">
      <c r="A21" s="14" t="inlineStr">
        <is>
          <t>E-RB</t>
        </is>
      </c>
      <c r="B21" s="14" t="n">
        <v>0</v>
      </c>
      <c r="C21" s="14" t="inlineStr"/>
    </row>
    <row r="22">
      <c r="A22" s="14" t="inlineStr">
        <is>
          <t>M</t>
        </is>
      </c>
      <c r="B22" s="14" t="n">
        <v>0</v>
      </c>
      <c r="C22" s="14" t="inlineStr"/>
    </row>
    <row r="23">
      <c r="A23" s="14" t="inlineStr">
        <is>
          <t>M-RB</t>
        </is>
      </c>
      <c r="B23" s="14" t="n">
        <v>0</v>
      </c>
      <c r="C23" s="14" t="inlineStr"/>
    </row>
    <row r="24">
      <c r="A24" s="14" t="inlineStr">
        <is>
          <t>BOT</t>
        </is>
      </c>
      <c r="B24" s="14" t="n">
        <v>0</v>
      </c>
      <c r="C24" s="1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2026-10-11T23:14:01Z</dcterms:created>
  <dcterms:modified xmlns:dcterms="http://purl.org/dc/terms/" xmlns:xsi="http://www.w3.org/2001/XMLSchema-instance" xsi:type="dcterms:W3CDTF">2026-10-11T23:14:01Z</dcterms:modified>
</cp:coreProperties>
</file>